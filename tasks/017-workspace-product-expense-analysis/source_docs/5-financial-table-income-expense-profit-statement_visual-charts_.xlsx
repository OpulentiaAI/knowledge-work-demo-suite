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095" windowHeight="12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come Expense Details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&quot;￥&quot;#,##0.00;&quot;￥&quot;\-#,##0.00"/>
  </numFmts>
  <fonts count="30">
    <font>
      <name val="宋体"/>
      <charset val="134"/>
      <color theme="1"/>
      <sz val="11"/>
      <scheme val="minor"/>
    </font>
    <font>
      <name val="Microsoft YaHei UI"/>
      <charset val="134"/>
      <b val="1"/>
      <color theme="0"/>
      <sz val="12"/>
    </font>
    <font>
      <name val="Microsoft YaHei UI"/>
      <charset val="134"/>
      <color theme="1"/>
      <sz val="11"/>
    </font>
    <font>
      <name val="Microsoft YaHei UI"/>
      <charset val="134"/>
      <b val="1"/>
      <color theme="1" tint="0.15"/>
      <sz val="20"/>
    </font>
    <font>
      <name val="Microsoft YaHei UI"/>
      <charset val="134"/>
      <color theme="1"/>
      <sz val="12"/>
    </font>
    <font>
      <name val="Microsoft YaHei UI"/>
      <charset val="134"/>
      <b val="1"/>
      <color theme="1" tint="0.25"/>
      <sz val="18"/>
    </font>
    <font>
      <name val="微软雅黑"/>
      <charset val="134"/>
      <color theme="1" tint="0.35"/>
      <sz val="11"/>
    </font>
    <font>
      <name val="Arial Black"/>
      <charset val="134"/>
      <color theme="1" tint="0.35"/>
      <sz val="16"/>
    </font>
    <font>
      <name val="Microsoft YaHei UI"/>
      <charset val="134"/>
      <color theme="1" tint="0.35"/>
      <sz val="16"/>
    </font>
    <font>
      <name val="Microsoft YaHei UI"/>
      <charset val="134"/>
      <color theme="1" tint="0.35"/>
      <sz val="12"/>
    </font>
    <font>
      <name val="微软雅黑"/>
      <charset val="134"/>
      <color theme="1" tint="0.35"/>
      <sz val="16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63C4F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5F4"/>
        <bgColor indexed="64"/>
      </patternFill>
    </fill>
    <fill>
      <gradientFill type="linear">
        <stop position="0">
          <color rgb="FFF7F7F9"/>
        </stop>
        <stop position="1">
          <color theme="0" tint="-0.15"/>
        </stop>
      </gradient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 tint="0.5"/>
      </left>
      <right/>
      <top style="medium">
        <color theme="1" tint="0.5"/>
      </top>
      <bottom/>
      <diagonal/>
    </border>
    <border>
      <left style="medium">
        <color theme="1" tint="0.5"/>
      </left>
      <right/>
      <top/>
      <bottom style="medium">
        <color theme="1" tint="0.5"/>
      </bottom>
      <diagonal/>
    </border>
    <border>
      <left/>
      <right style="medium">
        <color theme="1" tint="0.5"/>
      </right>
      <top style="medium">
        <color theme="1" tint="0.5"/>
      </top>
      <bottom/>
      <diagonal/>
    </border>
    <border>
      <left/>
      <right style="medium">
        <color theme="1" tint="0.5"/>
      </right>
      <top/>
      <bottom style="medium">
        <color theme="1" tint="0.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5" fillId="24" borderId="0" applyAlignment="1">
      <alignment vertical="center"/>
    </xf>
    <xf numFmtId="0" fontId="21" fillId="20" borderId="1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5" fillId="15" borderId="0" applyAlignment="1">
      <alignment vertical="center"/>
    </xf>
    <xf numFmtId="0" fontId="17" fillId="11" borderId="0" applyAlignment="1">
      <alignment vertical="center"/>
    </xf>
    <xf numFmtId="43" fontId="0" fillId="0" borderId="0" applyAlignment="1">
      <alignment vertical="center"/>
    </xf>
    <xf numFmtId="0" fontId="19" fillId="27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24" fillId="0" borderId="0" applyAlignment="1">
      <alignment vertical="center"/>
    </xf>
    <xf numFmtId="0" fontId="0" fillId="28" borderId="13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25" fillId="0" borderId="14" applyAlignment="1">
      <alignment vertical="center"/>
    </xf>
    <xf numFmtId="0" fontId="27" fillId="0" borderId="14" applyAlignment="1">
      <alignment vertical="center"/>
    </xf>
    <xf numFmtId="0" fontId="19" fillId="26" borderId="0" applyAlignment="1">
      <alignment vertical="center"/>
    </xf>
    <xf numFmtId="0" fontId="16" fillId="0" borderId="16" applyAlignment="1">
      <alignment vertical="center"/>
    </xf>
    <xf numFmtId="0" fontId="19" fillId="18" borderId="0" applyAlignment="1">
      <alignment vertical="center"/>
    </xf>
    <xf numFmtId="0" fontId="29" fillId="23" borderId="17" applyAlignment="1">
      <alignment vertical="center"/>
    </xf>
    <xf numFmtId="0" fontId="22" fillId="23" borderId="11" applyAlignment="1">
      <alignment vertical="center"/>
    </xf>
    <xf numFmtId="0" fontId="18" fillId="14" borderId="10" applyAlignment="1">
      <alignment vertical="center"/>
    </xf>
    <xf numFmtId="0" fontId="15" fillId="34" borderId="0" applyAlignment="1">
      <alignment vertical="center"/>
    </xf>
    <xf numFmtId="0" fontId="19" fillId="30" borderId="0" applyAlignment="1">
      <alignment vertical="center"/>
    </xf>
    <xf numFmtId="0" fontId="23" fillId="0" borderId="12" applyAlignment="1">
      <alignment vertical="center"/>
    </xf>
    <xf numFmtId="0" fontId="26" fillId="0" borderId="15" applyAlignment="1">
      <alignment vertical="center"/>
    </xf>
    <xf numFmtId="0" fontId="28" fillId="33" borderId="0" applyAlignment="1">
      <alignment vertical="center"/>
    </xf>
    <xf numFmtId="0" fontId="20" fillId="17" borderId="0" applyAlignment="1">
      <alignment vertical="center"/>
    </xf>
    <xf numFmtId="0" fontId="15" fillId="22" borderId="0" applyAlignment="1">
      <alignment vertical="center"/>
    </xf>
    <xf numFmtId="0" fontId="19" fillId="37" borderId="0" applyAlignment="1">
      <alignment vertical="center"/>
    </xf>
    <xf numFmtId="0" fontId="15" fillId="21" borderId="0" applyAlignment="1">
      <alignment vertical="center"/>
    </xf>
    <xf numFmtId="0" fontId="15" fillId="13" borderId="0" applyAlignment="1">
      <alignment vertical="center"/>
    </xf>
    <xf numFmtId="0" fontId="15" fillId="32" borderId="0" applyAlignment="1">
      <alignment vertical="center"/>
    </xf>
    <xf numFmtId="0" fontId="15" fillId="10" borderId="0" applyAlignment="1">
      <alignment vertical="center"/>
    </xf>
    <xf numFmtId="0" fontId="19" fillId="36" borderId="0" applyAlignment="1">
      <alignment vertical="center"/>
    </xf>
    <xf numFmtId="0" fontId="19" fillId="29" borderId="0" applyAlignment="1">
      <alignment vertical="center"/>
    </xf>
    <xf numFmtId="0" fontId="15" fillId="31" borderId="0" applyAlignment="1">
      <alignment vertical="center"/>
    </xf>
    <xf numFmtId="0" fontId="15" fillId="9" borderId="0" applyAlignment="1">
      <alignment vertical="center"/>
    </xf>
    <xf numFmtId="0" fontId="19" fillId="35" borderId="0" applyAlignment="1">
      <alignment vertical="center"/>
    </xf>
    <xf numFmtId="0" fontId="15" fillId="12" borderId="0" applyAlignment="1">
      <alignment vertical="center"/>
    </xf>
    <xf numFmtId="0" fontId="19" fillId="25" borderId="0" applyAlignment="1">
      <alignment vertical="center"/>
    </xf>
    <xf numFmtId="0" fontId="19" fillId="3" borderId="0" applyAlignment="1">
      <alignment vertical="center"/>
    </xf>
    <xf numFmtId="0" fontId="15" fillId="8" borderId="0" applyAlignment="1">
      <alignment vertical="center"/>
    </xf>
    <xf numFmtId="0" fontId="19" fillId="16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4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164" fontId="1" fillId="2" borderId="5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164" fontId="1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166" fontId="7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9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right" vertical="center"/>
    </xf>
    <xf numFmtId="0" fontId="4" fillId="7" borderId="6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7" borderId="7" applyAlignment="1" pivotButton="0" quotePrefix="0" xfId="0">
      <alignment vertical="center"/>
    </xf>
    <xf numFmtId="0" fontId="10" fillId="5" borderId="0" applyAlignment="1" pivotButton="0" quotePrefix="0" xfId="0">
      <alignment horizontal="center" vertical="center"/>
    </xf>
    <xf numFmtId="0" fontId="4" fillId="7" borderId="8" applyAlignment="1" pivotButton="0" quotePrefix="0" xfId="0">
      <alignment vertical="center"/>
    </xf>
    <xf numFmtId="0" fontId="4" fillId="7" borderId="9" applyAlignment="1" pivotButton="0" quotePrefix="0" xfId="0">
      <alignment vertical="center"/>
    </xf>
    <xf numFmtId="10" fontId="7" fillId="6" borderId="0" applyAlignment="1" pivotButton="0" quotePrefix="0" xfId="11">
      <alignment horizontal="center" vertical="center"/>
    </xf>
    <xf numFmtId="0" fontId="0" fillId="0" borderId="0" pivotButton="0" quotePrefix="0" xfId="0"/>
    <xf numFmtId="166" fontId="7" fillId="6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1" fillId="2" borderId="5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1" fillId="3" borderId="5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9</col>
      <colOff>213995</colOff>
      <row>4</row>
      <rowOff>559435</rowOff>
    </from>
    <to>
      <col>10</col>
      <colOff>100965</colOff>
      <row>6</row>
      <rowOff>114300</rowOff>
    </to>
    <pic>
      <nvPicPr>
        <cNvPr id="4" name="图片 3" descr="333437323832303b333530343931303bc6f3d2b5cad5c8e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68370" y="1473835"/>
          <a:ext cx="572770" cy="5835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47625</colOff>
      <row>4</row>
      <rowOff>575310</rowOff>
    </from>
    <to>
      <col>3</col>
      <colOff>600075</colOff>
      <row>6</row>
      <rowOff>107950</rowOff>
    </to>
    <pic>
      <nvPicPr>
        <cNvPr id="6" name="图片 5" descr="333437323739383b333530353031373bb7d1d3c3b9dcc0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11175" y="1489710"/>
          <a:ext cx="552450" cy="5613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267970</colOff>
      <row>4</row>
      <rowOff>584835</rowOff>
    </from>
    <to>
      <col>18</col>
      <colOff>800100</colOff>
      <row>6</row>
      <rowOff>95250</rowOff>
    </to>
    <pic>
      <nvPicPr>
        <cNvPr id="8" name="图片 7" descr="333639373230313b343435303930303bcffacadbd6c6b6c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551295" y="1499235"/>
          <a:ext cx="532130" cy="539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388620</colOff>
      <row>4</row>
      <rowOff>561340</rowOff>
    </from>
    <to>
      <col>25</col>
      <colOff>923925</colOff>
      <row>6</row>
      <rowOff>76200</rowOff>
    </to>
    <pic>
      <nvPicPr>
        <cNvPr id="12" name="图片 11" descr="343435383035303b343532353639383bcafdbeddb6afcca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748520" y="1475740"/>
          <a:ext cx="535305" cy="543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tabSelected="1" workbookViewId="0">
      <selection activeCell="AF5" sqref="AF5"/>
    </sheetView>
  </sheetViews>
  <sheetFormatPr baseColWidth="8" defaultColWidth="9" defaultRowHeight="25" customHeight="1"/>
  <cols>
    <col width="3" customWidth="1" style="23" min="1" max="1"/>
    <col width="0.325" customWidth="1" style="23" min="2" max="2"/>
    <col width="2.75833333333333" customWidth="1" style="23" min="3" max="3"/>
    <col width="8.625" customWidth="1" style="23" min="4" max="4"/>
    <col width="10.625" customWidth="1" style="23" min="5" max="6"/>
    <col width="3.125" customWidth="1" style="23" min="7" max="7"/>
    <col width="3.375" customWidth="1" style="23" min="8" max="8"/>
    <col width="0.25" customWidth="1" style="23" min="9" max="9"/>
    <col width="9" customWidth="1" style="23" min="10" max="10"/>
    <col width="3" customWidth="1" style="23" min="11" max="11"/>
    <col width="5.625" customWidth="1" style="23" min="12" max="12"/>
    <col width="2.25" customWidth="1" style="23" min="13" max="13"/>
    <col width="9.625" customWidth="1" style="23" min="14" max="14"/>
    <col width="4" customWidth="1" style="23" min="15" max="15"/>
    <col width="3.125" customWidth="1" style="23" min="16" max="16"/>
    <col width="2.75" customWidth="1" style="23" min="17" max="17"/>
    <col width="0.375" customWidth="1" style="23" min="18" max="18"/>
    <col width="13" customWidth="1" style="23" min="19" max="19"/>
    <col width="10.625" customWidth="1" style="23" min="20" max="20"/>
    <col width="3.125" customWidth="1" style="23" min="21" max="21"/>
    <col width="5.625" customWidth="1" style="23" min="22" max="22"/>
    <col width="3.125" customWidth="1" style="23" min="23" max="23"/>
    <col width="4.625" customWidth="1" style="23" min="24" max="24"/>
    <col width="0.25" customWidth="1" style="23" min="25" max="25"/>
    <col width="13.625" customWidth="1" style="23" min="26" max="26"/>
    <col width="10.625" customWidth="1" style="23" min="27" max="28"/>
    <col width="3.25" customWidth="1" style="23" min="29" max="29"/>
    <col width="3.5" customWidth="1" style="23" min="30" max="30"/>
    <col width="9" customWidth="1" style="23" min="31" max="16384"/>
  </cols>
  <sheetData>
    <row r="1" ht="12" customHeight="1" s="4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</row>
    <row r="2" ht="36" customHeight="1" s="41">
      <c r="A2" s="24" t="n"/>
      <c r="B2" s="25" t="inlineStr">
        <is>
          <t>Financial Statement - Income Expense Profit Statement</t>
        </is>
      </c>
      <c r="AD2" s="24" t="n"/>
    </row>
    <row r="3" ht="10" customHeight="1" s="4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</row>
    <row r="4" ht="14" customHeight="1" s="41">
      <c r="A4" s="24" t="n"/>
      <c r="B4" s="26" t="n"/>
      <c r="C4" s="27" t="n"/>
      <c r="D4" s="27" t="n"/>
      <c r="E4" s="27" t="n"/>
      <c r="F4" s="27" t="n"/>
      <c r="G4" s="27" t="n"/>
      <c r="H4" s="24" t="n"/>
      <c r="I4" s="26" t="n"/>
      <c r="J4" s="27" t="n"/>
      <c r="K4" s="27" t="n"/>
      <c r="L4" s="27" t="n"/>
      <c r="M4" s="27" t="n"/>
      <c r="N4" s="27" t="n"/>
      <c r="O4" s="27" t="n"/>
      <c r="P4" s="27" t="n"/>
      <c r="Q4" s="24" t="n"/>
      <c r="R4" s="26" t="n"/>
      <c r="S4" s="27" t="n"/>
      <c r="T4" s="27" t="n"/>
      <c r="U4" s="27" t="n"/>
      <c r="V4" s="27" t="n"/>
      <c r="W4" s="27" t="n"/>
      <c r="X4" s="24" t="n"/>
      <c r="Y4" s="26" t="n"/>
      <c r="Z4" s="27" t="n"/>
      <c r="AA4" s="27" t="n"/>
      <c r="AB4" s="27" t="n"/>
      <c r="AC4" s="27" t="n"/>
      <c r="AD4" s="24" t="n"/>
    </row>
    <row r="5" ht="51" customHeight="1" s="41">
      <c r="A5" s="24" t="n"/>
      <c r="B5" s="26" t="n"/>
      <c r="C5" s="42">
        <f>IncomeExpense Details!K19</f>
        <v/>
      </c>
      <c r="H5" s="29" t="n"/>
      <c r="I5" s="37" t="n"/>
      <c r="J5" s="42">
        <f>IncomeExpense Details!L19</f>
        <v/>
      </c>
      <c r="Q5" s="29" t="n"/>
      <c r="R5" s="37" t="n"/>
      <c r="S5" s="42">
        <f>IncomeExpense Details!M19</f>
        <v/>
      </c>
      <c r="X5" s="29" t="n"/>
      <c r="Y5" s="37" t="n"/>
      <c r="Z5" s="40">
        <f>(IncomeExpense Details!M19-IncomeExpense Details!H4)/IncomeExpense Details!H4</f>
        <v/>
      </c>
      <c r="AD5" s="24" t="n"/>
    </row>
    <row r="6" ht="30" customFormat="1" customHeight="1" s="23">
      <c r="A6" s="24" t="n"/>
      <c r="B6" s="26" t="n"/>
      <c r="C6" s="30" t="n"/>
      <c r="D6" s="30" t="n"/>
      <c r="E6" s="31" t="inlineStr">
        <is>
          <t>Cumulative Income</t>
        </is>
      </c>
      <c r="G6" s="32" t="n"/>
      <c r="H6" s="24" t="n"/>
      <c r="I6" s="26" t="n"/>
      <c r="J6" s="33" t="n"/>
      <c r="K6" s="33" t="n"/>
      <c r="L6" s="31" t="inlineStr">
        <is>
          <t>Cumulative Expense</t>
        </is>
      </c>
      <c r="P6" s="27" t="n"/>
      <c r="Q6" s="24" t="n"/>
      <c r="R6" s="26" t="n"/>
      <c r="S6" s="33" t="n"/>
      <c r="T6" s="31" t="inlineStr">
        <is>
          <t>Profit Amount</t>
        </is>
      </c>
      <c r="W6" s="27" t="n"/>
      <c r="X6" s="24" t="n"/>
      <c r="Y6" s="26" t="n"/>
      <c r="Z6" s="33" t="n"/>
      <c r="AA6" s="31" t="inlineStr">
        <is>
          <t>YoY Growth</t>
        </is>
      </c>
      <c r="AC6" s="27" t="n"/>
      <c r="AD6" s="24" t="n"/>
    </row>
    <row r="7" ht="10" customFormat="1" customHeight="1" s="23">
      <c r="A7" s="24" t="n"/>
      <c r="B7" s="26" t="n"/>
      <c r="C7" s="33" t="n"/>
      <c r="D7" s="33" t="n"/>
      <c r="E7" s="33" t="n"/>
      <c r="F7" s="33" t="n"/>
      <c r="G7" s="32" t="n"/>
      <c r="H7" s="24" t="n"/>
      <c r="I7" s="26" t="n"/>
      <c r="J7" s="33" t="n"/>
      <c r="K7" s="33" t="n"/>
      <c r="L7" s="33" t="n"/>
      <c r="M7" s="33" t="n"/>
      <c r="N7" s="33" t="n"/>
      <c r="O7" s="33" t="n"/>
      <c r="P7" s="27" t="n"/>
      <c r="Q7" s="24" t="n"/>
      <c r="R7" s="26" t="n"/>
      <c r="S7" s="33" t="n"/>
      <c r="T7" s="33" t="n"/>
      <c r="U7" s="33" t="n"/>
      <c r="V7" s="33" t="n"/>
      <c r="W7" s="27" t="n"/>
      <c r="X7" s="24" t="n"/>
      <c r="Y7" s="26" t="n"/>
      <c r="Z7" s="33" t="n"/>
      <c r="AA7" s="33" t="n"/>
      <c r="AB7" s="33" t="n"/>
      <c r="AC7" s="27" t="n"/>
      <c r="AD7" s="24" t="n"/>
    </row>
    <row r="8" ht="14" customHeight="1" s="41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</row>
    <row r="9" ht="17" customHeight="1" s="41">
      <c r="A9" s="24" t="n"/>
      <c r="B9" s="24" t="n"/>
      <c r="C9" s="34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8" t="n"/>
      <c r="P9" s="24" t="n"/>
      <c r="Q9" s="34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8" t="n"/>
      <c r="AD9" s="24" t="n"/>
    </row>
    <row r="10" ht="36" customHeight="1" s="41">
      <c r="A10" s="24" t="n"/>
      <c r="B10" s="2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24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24" t="n"/>
    </row>
    <row r="11" s="41">
      <c r="A11" s="24" t="n"/>
      <c r="B11" s="2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24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24" t="n"/>
    </row>
    <row r="12" s="41">
      <c r="A12" s="24" t="n"/>
      <c r="B12" s="2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24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24" t="n"/>
    </row>
    <row r="13" ht="35" customHeight="1" s="41">
      <c r="A13" s="24" t="n"/>
      <c r="B13" s="2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24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24" t="n"/>
    </row>
    <row r="14" s="41">
      <c r="A14" s="24" t="n"/>
      <c r="B14" s="2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24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24" t="n"/>
    </row>
    <row r="15" ht="18" customHeight="1" s="41">
      <c r="A15" s="24" t="n"/>
      <c r="B15" s="24" t="n"/>
      <c r="C15" s="36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9" t="n"/>
      <c r="P15" s="24" t="n"/>
      <c r="Q15" s="36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9" t="n"/>
      <c r="AD15" s="24" t="n"/>
    </row>
    <row r="16" ht="16" customHeight="1" s="41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</row>
    <row r="17" ht="18" customHeight="1" s="41">
      <c r="A17" s="24" t="n"/>
      <c r="B17" s="24" t="n"/>
      <c r="C17" s="34" t="n"/>
      <c r="D17" s="35" t="n"/>
      <c r="E17" s="35" t="n"/>
      <c r="F17" s="35" t="n"/>
      <c r="G17" s="35" t="n"/>
      <c r="H17" s="35" t="n"/>
      <c r="I17" s="35" t="n"/>
      <c r="J17" s="35" t="n"/>
      <c r="K17" s="38" t="n"/>
      <c r="L17" s="24" t="n"/>
      <c r="M17" s="34" t="n"/>
      <c r="N17" s="35" t="n"/>
      <c r="O17" s="35" t="n"/>
      <c r="P17" s="35" t="n"/>
      <c r="Q17" s="35" t="n"/>
      <c r="R17" s="35" t="n"/>
      <c r="S17" s="35" t="n"/>
      <c r="T17" s="35" t="n"/>
      <c r="U17" s="38" t="n"/>
      <c r="V17" s="24" t="n"/>
      <c r="W17" s="34" t="n"/>
      <c r="Y17" s="35" t="n"/>
      <c r="Z17" s="35" t="n"/>
      <c r="AA17" s="35" t="n"/>
      <c r="AB17" s="35" t="n"/>
      <c r="AC17" s="38" t="n"/>
      <c r="AD17" s="24" t="n"/>
    </row>
    <row r="18" s="41">
      <c r="A18" s="24" t="n"/>
      <c r="B18" s="2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24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24" t="n"/>
      <c r="W18" s="35" t="n"/>
      <c r="X18" s="35" t="n"/>
      <c r="Y18" s="35" t="n"/>
      <c r="Z18" s="35" t="n"/>
      <c r="AA18" s="35" t="n"/>
      <c r="AB18" s="35" t="n"/>
      <c r="AC18" s="35" t="n"/>
      <c r="AD18" s="24" t="n"/>
    </row>
    <row r="19" ht="38" customHeight="1" s="41">
      <c r="A19" s="24" t="n"/>
      <c r="B19" s="2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24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24" t="n"/>
      <c r="W19" s="35" t="n"/>
      <c r="X19" s="35" t="n"/>
      <c r="Y19" s="35" t="n"/>
      <c r="Z19" s="35" t="n"/>
      <c r="AA19" s="35" t="n"/>
      <c r="AB19" s="35" t="n"/>
      <c r="AC19" s="35" t="n"/>
      <c r="AD19" s="24" t="n"/>
    </row>
    <row r="20" s="41">
      <c r="A20" s="24" t="n"/>
      <c r="B20" s="2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24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24" t="n"/>
      <c r="W20" s="35" t="n"/>
      <c r="X20" s="35" t="n"/>
      <c r="Y20" s="35" t="n"/>
      <c r="Z20" s="35" t="n"/>
      <c r="AA20" s="35" t="n"/>
      <c r="AB20" s="35" t="n"/>
      <c r="AC20" s="35" t="n"/>
      <c r="AD20" s="24" t="n"/>
    </row>
    <row r="21" s="41">
      <c r="A21" s="24" t="n"/>
      <c r="B21" s="2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24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24" t="n"/>
      <c r="W21" s="35" t="n"/>
      <c r="X21" s="35" t="n"/>
      <c r="Y21" s="35" t="n"/>
      <c r="Z21" s="35" t="n"/>
      <c r="AA21" s="35" t="n"/>
      <c r="AB21" s="35" t="n"/>
      <c r="AC21" s="35" t="n"/>
      <c r="AD21" s="24" t="n"/>
    </row>
    <row r="22" s="41">
      <c r="A22" s="24" t="n"/>
      <c r="B22" s="2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24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24" t="n"/>
      <c r="W22" s="35" t="n"/>
      <c r="X22" s="35" t="n"/>
      <c r="Y22" s="35" t="n"/>
      <c r="Z22" s="35" t="n"/>
      <c r="AA22" s="35" t="n"/>
      <c r="AB22" s="35" t="n"/>
      <c r="AC22" s="35" t="n"/>
      <c r="AD22" s="24" t="n"/>
    </row>
    <row r="23" ht="18" customHeight="1" s="41">
      <c r="A23" s="24" t="n"/>
      <c r="B23" s="24" t="n"/>
      <c r="C23" s="36" t="n"/>
      <c r="D23" s="35" t="n"/>
      <c r="E23" s="35" t="n"/>
      <c r="F23" s="35" t="n"/>
      <c r="G23" s="35" t="n"/>
      <c r="H23" s="35" t="n"/>
      <c r="I23" s="35" t="n"/>
      <c r="J23" s="35" t="n"/>
      <c r="K23" s="39" t="n"/>
      <c r="L23" s="24" t="n"/>
      <c r="M23" s="36" t="n"/>
      <c r="N23" s="35" t="n"/>
      <c r="O23" s="35" t="n"/>
      <c r="P23" s="35" t="n"/>
      <c r="Q23" s="35" t="n"/>
      <c r="R23" s="35" t="n"/>
      <c r="S23" s="35" t="n"/>
      <c r="T23" s="35" t="n"/>
      <c r="U23" s="39" t="n"/>
      <c r="V23" s="24" t="n"/>
      <c r="W23" s="36" t="n"/>
      <c r="X23" s="35" t="n"/>
      <c r="Y23" s="35" t="n"/>
      <c r="Z23" s="35" t="n"/>
      <c r="AA23" s="35" t="n"/>
      <c r="AB23" s="35" t="n"/>
      <c r="AC23" s="39" t="n"/>
      <c r="AD23" s="24" t="n"/>
    </row>
    <row r="24" s="4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</row>
  </sheetData>
  <mergeCells count="9">
    <mergeCell ref="B2:AC2"/>
    <mergeCell ref="E6:F6"/>
    <mergeCell ref="AA6:AB6"/>
    <mergeCell ref="S5:W5"/>
    <mergeCell ref="C5:G5"/>
    <mergeCell ref="L6:O6"/>
    <mergeCell ref="Z5:AC5"/>
    <mergeCell ref="J5:P5"/>
    <mergeCell ref="T6:V6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O6" sqref="O6"/>
    </sheetView>
  </sheetViews>
  <sheetFormatPr baseColWidth="8" defaultColWidth="10" defaultRowHeight="25" customHeight="1"/>
  <cols>
    <col width="3.75" customWidth="1" style="2" min="1" max="1"/>
    <col width="12.75" customWidth="1" style="2" min="2" max="2"/>
    <col width="11.875" customWidth="1" style="2" min="3" max="3"/>
    <col width="13.875" customWidth="1" style="2" min="4" max="4"/>
    <col width="14.25" customWidth="1" style="43" min="5" max="5"/>
    <col width="14.5" customWidth="1" style="2" min="6" max="6"/>
    <col width="20.375" customWidth="1" style="2" min="7" max="7"/>
    <col width="15.25" customWidth="1" style="2" min="8" max="8"/>
    <col width="2" customWidth="1" style="2" min="9" max="9"/>
    <col width="12.125" customWidth="1" style="2" min="10" max="10"/>
    <col width="12.875" customWidth="1" style="43" min="11" max="13"/>
    <col width="10" customWidth="1" style="2" min="14" max="16382"/>
    <col width="10" customWidth="1" style="2" min="16383" max="16384"/>
  </cols>
  <sheetData>
    <row r="1" ht="13" customHeight="1" s="41"/>
    <row r="2" ht="40" customHeight="1" s="41">
      <c r="B2" s="4" t="inlineStr">
        <is>
          <t>Income Expense Bookkeeping Details</t>
        </is>
      </c>
    </row>
    <row r="3" ht="15" customHeight="1" s="41"/>
    <row r="4" ht="28" customHeight="1" s="41">
      <c r="B4" s="2" t="inlineStr">
        <is>
          <t>Company Name:</t>
        </is>
      </c>
      <c r="C4" s="5" t="inlineStr">
        <is>
          <t>Daoke Technology Co., Ltd.</t>
        </is>
      </c>
      <c r="E4" s="44" t="inlineStr">
        <is>
          <t>Fiscal Year:</t>
        </is>
      </c>
      <c r="F4" s="5" t="inlineStr">
        <is>
          <t>2021</t>
        </is>
      </c>
      <c r="G4" s="7" t="inlineStr">
        <is>
          <t>Previous Year's Profit:</t>
        </is>
      </c>
      <c r="H4" s="45" t="n">
        <v>12000</v>
      </c>
      <c r="J4" s="2" t="n"/>
      <c r="K4" s="43" t="n"/>
      <c r="L4" s="43" t="n"/>
      <c r="M4" s="43" t="n"/>
    </row>
    <row r="5" ht="12" customHeight="1" s="41">
      <c r="B5" s="2" t="n"/>
      <c r="C5" s="2" t="n"/>
      <c r="D5" s="2" t="n"/>
      <c r="E5" s="43" t="n"/>
      <c r="F5" s="2" t="n"/>
      <c r="G5" s="2" t="n"/>
      <c r="H5" s="2" t="n"/>
      <c r="J5" s="2" t="n"/>
      <c r="K5" s="43" t="n"/>
      <c r="L5" s="43" t="n"/>
      <c r="M5" s="43" t="n"/>
    </row>
    <row r="6" ht="29" customFormat="1" customHeight="1" s="1">
      <c r="B6" s="9" t="inlineStr">
        <is>
          <t>Date</t>
        </is>
      </c>
      <c r="C6" s="9" t="inlineStr">
        <is>
          <t>Category</t>
        </is>
      </c>
      <c r="D6" s="10" t="inlineStr">
        <is>
          <t>Income/Expense Item</t>
        </is>
      </c>
      <c r="E6" s="46" t="inlineStr">
        <is>
          <t>Amount</t>
        </is>
      </c>
      <c r="F6" s="10" t="inlineStr">
        <is>
          <t>Account Name</t>
        </is>
      </c>
      <c r="G6" s="10" t="inlineStr">
        <is>
          <t>Counterparty</t>
        </is>
      </c>
      <c r="H6" s="10" t="inlineStr">
        <is>
          <t>Remarks</t>
        </is>
      </c>
      <c r="J6" s="10" t="inlineStr">
        <is>
          <t>Month</t>
        </is>
      </c>
      <c r="K6" s="46" t="inlineStr">
        <is>
          <t>Income Amount</t>
        </is>
      </c>
      <c r="L6" s="46" t="inlineStr">
        <is>
          <t>Expense Amount</t>
        </is>
      </c>
      <c r="M6" s="46" t="inlineStr">
        <is>
          <t>Profit Amount</t>
        </is>
      </c>
    </row>
    <row r="7" s="41">
      <c r="B7" s="12" t="n">
        <v>44197</v>
      </c>
      <c r="C7" s="13" t="inlineStr">
        <is>
          <t>Income</t>
        </is>
      </c>
      <c r="D7" s="13" t="inlineStr">
        <is>
          <t>Project 1</t>
        </is>
      </c>
      <c r="E7" s="47" t="n">
        <v>1200</v>
      </c>
      <c r="F7" s="13" t="inlineStr">
        <is>
          <t>WeChat</t>
        </is>
      </c>
      <c r="G7" s="13" t="n"/>
      <c r="H7" s="13" t="n"/>
      <c r="J7" s="13" t="inlineStr">
        <is>
          <t>Jan</t>
        </is>
      </c>
      <c r="K7" s="47">
        <f>SUMPRODUCT((MONTH($B$7:$B$20000)=1)*(($C$7:$C$20000)="Income")*($E$7:$E$20000))</f>
        <v/>
      </c>
      <c r="L7" s="47">
        <f>SUMPRODUCT((MONTH($B$7:$B$20000)=1)*(($C$7:$C$20000)="Expense")*($E$7:$E$20000))</f>
        <v/>
      </c>
      <c r="M7" s="47">
        <f>K7-L7</f>
        <v/>
      </c>
    </row>
    <row r="8" s="41">
      <c r="B8" s="12" t="n">
        <v>44197</v>
      </c>
      <c r="C8" s="15" t="inlineStr">
        <is>
          <t>Expense</t>
        </is>
      </c>
      <c r="D8" s="13" t="inlineStr">
        <is>
          <t>Project 1</t>
        </is>
      </c>
      <c r="E8" s="48" t="n">
        <v>700</v>
      </c>
      <c r="F8" s="13" t="inlineStr">
        <is>
          <t>Alipay</t>
        </is>
      </c>
      <c r="G8" s="15" t="n"/>
      <c r="H8" s="15" t="n"/>
      <c r="J8" s="15" t="inlineStr">
        <is>
          <t>Feb</t>
        </is>
      </c>
      <c r="K8" s="47">
        <f>SUMPRODUCT((MONTH($B$7:$B$20000)=2)*(($C$7:$C$20000)="Income")*($E$7:$E$20000))</f>
        <v/>
      </c>
      <c r="L8" s="47">
        <f>SUMPRODUCT((MONTH($B$7:$B$20000)=2)*(($C$7:$C$20000)="Expense")*($E$7:$E$20000))</f>
        <v/>
      </c>
      <c r="M8" s="47">
        <f>K8-L8</f>
        <v/>
      </c>
    </row>
    <row r="9" s="41">
      <c r="B9" s="12" t="n">
        <v>44228</v>
      </c>
      <c r="C9" s="13" t="inlineStr">
        <is>
          <t>Income</t>
        </is>
      </c>
      <c r="D9" s="13" t="inlineStr">
        <is>
          <t>Project 2</t>
        </is>
      </c>
      <c r="E9" s="48" t="n">
        <v>2300</v>
      </c>
      <c r="F9" s="13" t="inlineStr">
        <is>
          <t>Cash</t>
        </is>
      </c>
      <c r="G9" s="15" t="n"/>
      <c r="H9" s="15" t="n"/>
      <c r="J9" s="15" t="inlineStr">
        <is>
          <t>Mar</t>
        </is>
      </c>
      <c r="K9" s="47">
        <f>SUMPRODUCT((MONTH($B$7:$B$20000)=3)*(($C$7:$C$20000)="Income")*($E$7:$E$20000))</f>
        <v/>
      </c>
      <c r="L9" s="47">
        <f>SUMPRODUCT((MONTH($B$7:$B$20000)=3)*(($C$7:$C$20000)="Expense")*($E$7:$E$20000))</f>
        <v/>
      </c>
      <c r="M9" s="47">
        <f>K9-L9</f>
        <v/>
      </c>
    </row>
    <row r="10" s="41">
      <c r="B10" s="12" t="n">
        <v>44228</v>
      </c>
      <c r="C10" s="15" t="inlineStr">
        <is>
          <t>Expense</t>
        </is>
      </c>
      <c r="D10" s="13" t="inlineStr">
        <is>
          <t>Project 2</t>
        </is>
      </c>
      <c r="E10" s="48" t="n">
        <v>1500</v>
      </c>
      <c r="F10" s="13" t="inlineStr">
        <is>
          <t>Bank of China</t>
        </is>
      </c>
      <c r="G10" s="15" t="n"/>
      <c r="H10" s="15" t="n"/>
      <c r="J10" s="15" t="inlineStr">
        <is>
          <t>Apr</t>
        </is>
      </c>
      <c r="K10" s="47">
        <f>SUMPRODUCT((MONTH($B$7:$B$20000)=4)*(($C$7:$C$20000)="Income")*($E$7:$E$20000))</f>
        <v/>
      </c>
      <c r="L10" s="47">
        <f>SUMPRODUCT((MONTH($B$7:$B$20000)=4)*(($C$7:$C$20000)="Expense")*($E$7:$E$20000))</f>
        <v/>
      </c>
      <c r="M10" s="47">
        <f>K10-L10</f>
        <v/>
      </c>
    </row>
    <row r="11" s="41">
      <c r="B11" s="12" t="n">
        <v>44256</v>
      </c>
      <c r="C11" s="13" t="inlineStr">
        <is>
          <t>Income</t>
        </is>
      </c>
      <c r="D11" s="13" t="inlineStr">
        <is>
          <t>Project 3</t>
        </is>
      </c>
      <c r="E11" s="48" t="n">
        <v>2200</v>
      </c>
      <c r="F11" s="13" t="inlineStr">
        <is>
          <t>Agricultural Bank of China</t>
        </is>
      </c>
      <c r="G11" s="15" t="n"/>
      <c r="H11" s="15" t="n"/>
      <c r="J11" s="15" t="inlineStr">
        <is>
          <t>May</t>
        </is>
      </c>
      <c r="K11" s="47">
        <f>SUMPRODUCT((MONTH($B$7:$B$20000)=5)*(($C$7:$C$20000)="Income")*($E$7:$E$20000))</f>
        <v/>
      </c>
      <c r="L11" s="47">
        <f>SUMPRODUCT((MONTH($B$7:$B$20000)=5)*(($C$7:$C$20000)="Expense")*($E$7:$E$20000))</f>
        <v/>
      </c>
      <c r="M11" s="47">
        <f>K11-L11</f>
        <v/>
      </c>
    </row>
    <row r="12" s="41">
      <c r="B12" s="12" t="n">
        <v>44256</v>
      </c>
      <c r="C12" s="15" t="inlineStr">
        <is>
          <t>Expense</t>
        </is>
      </c>
      <c r="D12" s="13" t="inlineStr">
        <is>
          <t>Project 3</t>
        </is>
      </c>
      <c r="E12" s="48" t="n">
        <v>600</v>
      </c>
      <c r="F12" s="13" t="inlineStr">
        <is>
          <t>WeChat</t>
        </is>
      </c>
      <c r="G12" s="15" t="n"/>
      <c r="H12" s="15" t="n"/>
      <c r="J12" s="15" t="inlineStr">
        <is>
          <t>Jun</t>
        </is>
      </c>
      <c r="K12" s="47">
        <f>SUMPRODUCT((MONTH($B$7:$B$20000)=6)*(($C$7:$C$20000)="Income")*($E$7:$E$20000))</f>
        <v/>
      </c>
      <c r="L12" s="47">
        <f>SUMPRODUCT((MONTH($B$7:$B$20000)=6)*(($C$7:$C$20000)="Expense")*($E$7:$E$20000))</f>
        <v/>
      </c>
      <c r="M12" s="47">
        <f>K12-L12</f>
        <v/>
      </c>
    </row>
    <row r="13" s="41">
      <c r="B13" s="12" t="n">
        <v>44287</v>
      </c>
      <c r="C13" s="13" t="inlineStr">
        <is>
          <t>Income</t>
        </is>
      </c>
      <c r="D13" s="13" t="inlineStr">
        <is>
          <t>Project 4</t>
        </is>
      </c>
      <c r="E13" s="48" t="n">
        <v>1700</v>
      </c>
      <c r="F13" s="13" t="inlineStr">
        <is>
          <t>Alipay</t>
        </is>
      </c>
      <c r="G13" s="15" t="n"/>
      <c r="H13" s="15" t="n"/>
      <c r="J13" s="15" t="inlineStr">
        <is>
          <t>Jul</t>
        </is>
      </c>
      <c r="K13" s="47">
        <f>SUMPRODUCT((MONTH($B$7:$B$20000)=7)*(($C$7:$C$20000)="Income")*($E$7:$E$20000))</f>
        <v/>
      </c>
      <c r="L13" s="47">
        <f>SUMPRODUCT((MONTH($B$7:$B$20000)=7)*(($C$7:$C$20000)="Expense")*($E$7:$E$20000))</f>
        <v/>
      </c>
      <c r="M13" s="47">
        <f>K13-L13</f>
        <v/>
      </c>
    </row>
    <row r="14" s="41">
      <c r="B14" s="12" t="n">
        <v>44287</v>
      </c>
      <c r="C14" s="15" t="inlineStr">
        <is>
          <t>Expense</t>
        </is>
      </c>
      <c r="D14" s="13" t="inlineStr">
        <is>
          <t>Project 4</t>
        </is>
      </c>
      <c r="E14" s="48" t="n">
        <v>400</v>
      </c>
      <c r="F14" s="13" t="inlineStr">
        <is>
          <t>Cash</t>
        </is>
      </c>
      <c r="G14" s="15" t="n"/>
      <c r="H14" s="15" t="n"/>
      <c r="J14" s="15" t="inlineStr">
        <is>
          <t>Aug</t>
        </is>
      </c>
      <c r="K14" s="47">
        <f>SUMPRODUCT((MONTH($B$7:$B$20000)=8)*(($C$7:$C$20000)="Income")*($E$7:$E$20000))</f>
        <v/>
      </c>
      <c r="L14" s="47">
        <f>SUMPRODUCT((MONTH($B$7:$B$20000)=8)*(($C$7:$C$20000)="Expense")*($E$7:$E$20000))</f>
        <v/>
      </c>
      <c r="M14" s="47">
        <f>K14-L14</f>
        <v/>
      </c>
    </row>
    <row r="15" s="41">
      <c r="B15" s="12" t="n">
        <v>44317</v>
      </c>
      <c r="C15" s="13" t="inlineStr">
        <is>
          <t>Income</t>
        </is>
      </c>
      <c r="D15" s="13" t="inlineStr">
        <is>
          <t>Project 5</t>
        </is>
      </c>
      <c r="E15" s="48" t="n">
        <v>1500</v>
      </c>
      <c r="F15" s="13" t="inlineStr">
        <is>
          <t>Bank of China</t>
        </is>
      </c>
      <c r="G15" s="15" t="n"/>
      <c r="H15" s="15" t="n"/>
      <c r="J15" s="15" t="inlineStr">
        <is>
          <t>Sep</t>
        </is>
      </c>
      <c r="K15" s="47">
        <f>SUMPRODUCT((MONTH($B$7:$B$20000)=9)*(($C$7:$C$20000)="Income")*($E$7:$E$20000))</f>
        <v/>
      </c>
      <c r="L15" s="47">
        <f>SUMPRODUCT((MONTH($B$7:$B$20000)=9)*(($C$7:$C$20000)="Expense")*($E$7:$E$20000))</f>
        <v/>
      </c>
      <c r="M15" s="47">
        <f>K15-L15</f>
        <v/>
      </c>
    </row>
    <row r="16" s="41">
      <c r="B16" s="12" t="n">
        <v>44317</v>
      </c>
      <c r="C16" s="15" t="inlineStr">
        <is>
          <t>Expense</t>
        </is>
      </c>
      <c r="D16" s="13" t="inlineStr">
        <is>
          <t>Project 5</t>
        </is>
      </c>
      <c r="E16" s="48" t="n">
        <v>800</v>
      </c>
      <c r="F16" s="13" t="inlineStr">
        <is>
          <t>Agricultural Bank of China</t>
        </is>
      </c>
      <c r="G16" s="15" t="n"/>
      <c r="H16" s="15" t="n"/>
      <c r="J16" s="15" t="inlineStr">
        <is>
          <t>Oct</t>
        </is>
      </c>
      <c r="K16" s="47">
        <f>SUMPRODUCT((MONTH($B$7:$B$20000)=10)*(($C$7:$C$20000)="Income")*($E$7:$E$20000))</f>
        <v/>
      </c>
      <c r="L16" s="47">
        <f>SUMPRODUCT((MONTH($B$7:$B$20000)=10)*(($C$7:$C$20000)="Expense")*($E$7:$E$20000))</f>
        <v/>
      </c>
      <c r="M16" s="47">
        <f>K16-L16</f>
        <v/>
      </c>
    </row>
    <row r="17" s="41">
      <c r="B17" s="12" t="n">
        <v>44348</v>
      </c>
      <c r="C17" s="13" t="inlineStr">
        <is>
          <t>Income</t>
        </is>
      </c>
      <c r="D17" s="13" t="inlineStr">
        <is>
          <t>Project 6</t>
        </is>
      </c>
      <c r="E17" s="48" t="n">
        <v>1800</v>
      </c>
      <c r="F17" s="13" t="inlineStr">
        <is>
          <t>WeChat</t>
        </is>
      </c>
      <c r="G17" s="15" t="n"/>
      <c r="H17" s="15" t="n"/>
      <c r="J17" s="15" t="inlineStr">
        <is>
          <t>Nov</t>
        </is>
      </c>
      <c r="K17" s="47">
        <f>SUMPRODUCT((MONTH($B$7:$B$20000)=11)*(($C$7:$C$20000)="Income")*($E$7:$E$20000))</f>
        <v/>
      </c>
      <c r="L17" s="47">
        <f>SUMPRODUCT((MONTH($B$7:$B$20000)=11)*(($C$7:$C$20000)="Expense")*($E$7:$E$20000))</f>
        <v/>
      </c>
      <c r="M17" s="47">
        <f>K17-L17</f>
        <v/>
      </c>
    </row>
    <row r="18" s="41">
      <c r="B18" s="12" t="n">
        <v>44348</v>
      </c>
      <c r="C18" s="15" t="inlineStr">
        <is>
          <t>Expense</t>
        </is>
      </c>
      <c r="D18" s="13" t="inlineStr">
        <is>
          <t>Project 6</t>
        </is>
      </c>
      <c r="E18" s="48" t="n">
        <v>1100</v>
      </c>
      <c r="F18" s="13" t="inlineStr">
        <is>
          <t>Alipay</t>
        </is>
      </c>
      <c r="G18" s="15" t="n"/>
      <c r="H18" s="15" t="n"/>
      <c r="J18" s="15" t="inlineStr">
        <is>
          <t>Dec</t>
        </is>
      </c>
      <c r="K18" s="47">
        <f>SUMPRODUCT((MONTH($B$7:$B$20000)=12)*(($C$7:$C$20000)="Income")*($E$7:$E$20000))</f>
        <v/>
      </c>
      <c r="L18" s="47">
        <f>SUMPRODUCT((MONTH($B$7:$B$20000)=12)*(($C$7:$C$20000)="Expense")*($E$7:$E$20000))</f>
        <v/>
      </c>
      <c r="M18" s="47">
        <f>K18-L18</f>
        <v/>
      </c>
    </row>
    <row r="19" s="41">
      <c r="B19" s="12" t="n">
        <v>44378</v>
      </c>
      <c r="C19" s="13" t="inlineStr">
        <is>
          <t>Income</t>
        </is>
      </c>
      <c r="D19" s="13" t="inlineStr">
        <is>
          <t>Project 1</t>
        </is>
      </c>
      <c r="E19" s="48" t="n">
        <v>2700</v>
      </c>
      <c r="F19" s="13" t="inlineStr">
        <is>
          <t>Cash</t>
        </is>
      </c>
      <c r="G19" s="15" t="n"/>
      <c r="H19" s="15" t="n"/>
      <c r="J19" s="15" t="inlineStr">
        <is>
          <t>Total</t>
        </is>
      </c>
      <c r="K19" s="48">
        <f>SUM(K7:K18)</f>
        <v/>
      </c>
      <c r="L19" s="48">
        <f>SUM(L7:L18)</f>
        <v/>
      </c>
      <c r="M19" s="48">
        <f>SUM(M7:M18)</f>
        <v/>
      </c>
    </row>
    <row r="20" s="41">
      <c r="B20" s="12" t="n">
        <v>44378</v>
      </c>
      <c r="C20" s="15" t="inlineStr">
        <is>
          <t>Expense</t>
        </is>
      </c>
      <c r="D20" s="13" t="inlineStr">
        <is>
          <t>Project 1</t>
        </is>
      </c>
      <c r="E20" s="48" t="n">
        <v>400</v>
      </c>
      <c r="F20" s="13" t="inlineStr">
        <is>
          <t>Bank of China</t>
        </is>
      </c>
      <c r="G20" s="15" t="n"/>
      <c r="H20" s="15" t="n"/>
    </row>
    <row r="21" s="41">
      <c r="B21" s="12" t="n">
        <v>44409</v>
      </c>
      <c r="C21" s="13" t="inlineStr">
        <is>
          <t>Income</t>
        </is>
      </c>
      <c r="D21" s="13" t="inlineStr">
        <is>
          <t>Project 2</t>
        </is>
      </c>
      <c r="E21" s="48" t="n">
        <v>3200</v>
      </c>
      <c r="F21" s="13" t="inlineStr">
        <is>
          <t>Agricultural Bank of China</t>
        </is>
      </c>
      <c r="G21" s="15" t="n"/>
      <c r="H21" s="15" t="n"/>
      <c r="J21" s="18" t="inlineStr">
        <is>
          <t>Income/Expense Item</t>
        </is>
      </c>
      <c r="K21" s="49" t="inlineStr">
        <is>
          <t>Income Amount</t>
        </is>
      </c>
      <c r="L21" s="49" t="inlineStr">
        <is>
          <t>Expense Amount</t>
        </is>
      </c>
      <c r="M21" s="50" t="inlineStr">
        <is>
          <t>Profit Amount</t>
        </is>
      </c>
    </row>
    <row r="22" s="41">
      <c r="B22" s="12" t="n">
        <v>44409</v>
      </c>
      <c r="C22" s="15" t="inlineStr">
        <is>
          <t>Expense</t>
        </is>
      </c>
      <c r="D22" s="13" t="inlineStr">
        <is>
          <t>Project 2</t>
        </is>
      </c>
      <c r="E22" s="48" t="n">
        <v>1500</v>
      </c>
      <c r="F22" s="13" t="inlineStr">
        <is>
          <t>WeChat</t>
        </is>
      </c>
      <c r="G22" s="15" t="n"/>
      <c r="H22" s="15" t="n"/>
      <c r="J22" s="13" t="inlineStr">
        <is>
          <t>Project 1</t>
        </is>
      </c>
      <c r="K22" s="47">
        <f>SUMIFS($E$7:$E$20000,$C$7:$C$20000,"Income",$D$7:$D$20000,J22)</f>
        <v/>
      </c>
      <c r="L22" s="47">
        <f>SUMIFS($E$7:$E$20000,$C$7:$C$20000,"Expense",$D$7:$D$20000,J22)</f>
        <v/>
      </c>
      <c r="M22" s="47">
        <f>K22-L22</f>
        <v/>
      </c>
    </row>
    <row r="23" s="41">
      <c r="B23" s="12" t="n">
        <v>44440</v>
      </c>
      <c r="C23" s="13" t="inlineStr">
        <is>
          <t>Income</t>
        </is>
      </c>
      <c r="D23" s="13" t="inlineStr">
        <is>
          <t>Project 3</t>
        </is>
      </c>
      <c r="E23" s="48" t="n">
        <v>2800</v>
      </c>
      <c r="F23" s="13" t="inlineStr">
        <is>
          <t>Alipay</t>
        </is>
      </c>
      <c r="G23" s="15" t="n"/>
      <c r="H23" s="15" t="n"/>
      <c r="J23" s="13" t="inlineStr">
        <is>
          <t>Project 2</t>
        </is>
      </c>
      <c r="K23" s="47">
        <f>SUMIFS($E$7:$E$20000,$C$7:$C$20000,"Income",$D$7:$D$20000,J23)</f>
        <v/>
      </c>
      <c r="L23" s="47">
        <f>SUMIFS($E$7:$E$20000,$C$7:$C$20000,"Expense",$D$7:$D$20000,J23)</f>
        <v/>
      </c>
      <c r="M23" s="47">
        <f>K23-L23</f>
        <v/>
      </c>
    </row>
    <row r="24" s="41">
      <c r="B24" s="12" t="n">
        <v>44440</v>
      </c>
      <c r="C24" s="15" t="inlineStr">
        <is>
          <t>Expense</t>
        </is>
      </c>
      <c r="D24" s="13" t="inlineStr">
        <is>
          <t>Project 3</t>
        </is>
      </c>
      <c r="E24" s="48" t="n">
        <v>1100</v>
      </c>
      <c r="F24" s="13" t="inlineStr">
        <is>
          <t>Cash</t>
        </is>
      </c>
      <c r="G24" s="15" t="n"/>
      <c r="H24" s="15" t="n"/>
      <c r="J24" s="13" t="inlineStr">
        <is>
          <t>Project 3</t>
        </is>
      </c>
      <c r="K24" s="47">
        <f>SUMIFS($E$7:$E$20000,$C$7:$C$20000,"Income",$D$7:$D$20000,J24)</f>
        <v/>
      </c>
      <c r="L24" s="47">
        <f>SUMIFS($E$7:$E$20000,$C$7:$C$20000,"Expense",$D$7:$D$20000,J24)</f>
        <v/>
      </c>
      <c r="M24" s="47">
        <f>K24-L24</f>
        <v/>
      </c>
    </row>
    <row r="25" s="41">
      <c r="B25" s="12" t="n">
        <v>44470</v>
      </c>
      <c r="C25" s="13" t="inlineStr">
        <is>
          <t>Income</t>
        </is>
      </c>
      <c r="D25" s="13" t="inlineStr">
        <is>
          <t>Project 4</t>
        </is>
      </c>
      <c r="E25" s="48" t="n">
        <v>2400</v>
      </c>
      <c r="F25" s="13" t="inlineStr">
        <is>
          <t>Bank of China</t>
        </is>
      </c>
      <c r="G25" s="15" t="n"/>
      <c r="H25" s="15" t="n"/>
      <c r="J25" s="13" t="inlineStr">
        <is>
          <t>Project 4</t>
        </is>
      </c>
      <c r="K25" s="47">
        <f>SUMIFS($E$7:$E$20000,$C$7:$C$20000,"Income",$D$7:$D$20000,J25)</f>
        <v/>
      </c>
      <c r="L25" s="47">
        <f>SUMIFS($E$7:$E$20000,$C$7:$C$20000,"Expense",$D$7:$D$20000,J25)</f>
        <v/>
      </c>
      <c r="M25" s="47">
        <f>K25-L25</f>
        <v/>
      </c>
    </row>
    <row r="26" s="41">
      <c r="B26" s="12" t="n">
        <v>44470</v>
      </c>
      <c r="C26" s="15" t="inlineStr">
        <is>
          <t>Expense</t>
        </is>
      </c>
      <c r="D26" s="13" t="inlineStr">
        <is>
          <t>Project 4</t>
        </is>
      </c>
      <c r="E26" s="48" t="n">
        <v>500</v>
      </c>
      <c r="F26" s="13" t="inlineStr">
        <is>
          <t>Agricultural Bank of China</t>
        </is>
      </c>
      <c r="G26" s="15" t="n"/>
      <c r="H26" s="15" t="n"/>
      <c r="J26" s="13" t="inlineStr">
        <is>
          <t>Project 5</t>
        </is>
      </c>
      <c r="K26" s="47">
        <f>SUMIFS($E$7:$E$20000,$C$7:$C$20000,"Income",$D$7:$D$20000,J26)</f>
        <v/>
      </c>
      <c r="L26" s="47">
        <f>SUMIFS($E$7:$E$20000,$C$7:$C$20000,"Expense",$D$7:$D$20000,J26)</f>
        <v/>
      </c>
      <c r="M26" s="47">
        <f>K26-L26</f>
        <v/>
      </c>
    </row>
    <row r="27" s="41">
      <c r="B27" s="12" t="n">
        <v>44501</v>
      </c>
      <c r="C27" s="13" t="inlineStr">
        <is>
          <t>Income</t>
        </is>
      </c>
      <c r="D27" s="13" t="inlineStr">
        <is>
          <t>Project 5</t>
        </is>
      </c>
      <c r="E27" s="48" t="n">
        <v>2300</v>
      </c>
      <c r="F27" s="13" t="inlineStr">
        <is>
          <t>WeChat</t>
        </is>
      </c>
      <c r="G27" s="15" t="n"/>
      <c r="H27" s="15" t="n"/>
      <c r="J27" s="13" t="inlineStr">
        <is>
          <t>Project 6</t>
        </is>
      </c>
      <c r="K27" s="47">
        <f>SUMIFS($E$7:$E$20000,$C$7:$C$20000,"Income",$D$7:$D$20000,J27)</f>
        <v/>
      </c>
      <c r="L27" s="47">
        <f>SUMIFS($E$7:$E$20000,$C$7:$C$20000,"Expense",$D$7:$D$20000,J27)</f>
        <v/>
      </c>
      <c r="M27" s="47">
        <f>K27-L27</f>
        <v/>
      </c>
    </row>
    <row r="28" s="41">
      <c r="B28" s="12" t="n">
        <v>44501</v>
      </c>
      <c r="C28" s="15" t="inlineStr">
        <is>
          <t>Expense</t>
        </is>
      </c>
      <c r="D28" s="13" t="inlineStr">
        <is>
          <t>Project 5</t>
        </is>
      </c>
      <c r="E28" s="48" t="n">
        <v>700</v>
      </c>
      <c r="F28" s="13" t="inlineStr">
        <is>
          <t>Alipay</t>
        </is>
      </c>
      <c r="G28" s="15" t="n"/>
      <c r="H28" s="15" t="n"/>
      <c r="J28" s="13" t="inlineStr">
        <is>
          <t>Total</t>
        </is>
      </c>
      <c r="K28" s="47">
        <f>SUM(K22:K27)</f>
        <v/>
      </c>
      <c r="L28" s="47">
        <f>SUM(L22:L27)</f>
        <v/>
      </c>
      <c r="M28" s="47">
        <f>SUM(M22:M27)</f>
        <v/>
      </c>
    </row>
    <row r="29" s="41">
      <c r="B29" s="12" t="n">
        <v>44531</v>
      </c>
      <c r="C29" s="13" t="inlineStr">
        <is>
          <t>Income</t>
        </is>
      </c>
      <c r="D29" s="13" t="inlineStr">
        <is>
          <t>Project 6</t>
        </is>
      </c>
      <c r="E29" s="48" t="n">
        <v>2100</v>
      </c>
      <c r="F29" s="13" t="inlineStr">
        <is>
          <t>Cash</t>
        </is>
      </c>
      <c r="G29" s="15" t="n"/>
      <c r="H29" s="15" t="n"/>
    </row>
    <row r="30" s="41">
      <c r="B30" s="12" t="n">
        <v>44532</v>
      </c>
      <c r="C30" s="15" t="inlineStr">
        <is>
          <t>Expense</t>
        </is>
      </c>
      <c r="D30" s="13" t="inlineStr">
        <is>
          <t>Project 6</t>
        </is>
      </c>
      <c r="E30" s="48" t="n">
        <v>600</v>
      </c>
      <c r="F30" s="13" t="inlineStr">
        <is>
          <t>Bank of China</t>
        </is>
      </c>
      <c r="G30" s="15" t="n"/>
      <c r="H30" s="15" t="n"/>
      <c r="J30" s="21" t="inlineStr">
        <is>
          <t>Account Name</t>
        </is>
      </c>
      <c r="K30" s="51" t="inlineStr">
        <is>
          <t>Income Amount</t>
        </is>
      </c>
      <c r="L30" s="51" t="inlineStr">
        <is>
          <t>Expense Amount</t>
        </is>
      </c>
    </row>
    <row r="31" s="41">
      <c r="B31" s="15" t="n"/>
      <c r="C31" s="15" t="n"/>
      <c r="D31" s="15" t="n"/>
      <c r="E31" s="48" t="n"/>
      <c r="F31" s="15" t="n"/>
      <c r="G31" s="15" t="n"/>
      <c r="H31" s="15" t="n"/>
      <c r="J31" s="13" t="inlineStr">
        <is>
          <t>WeChat</t>
        </is>
      </c>
      <c r="K31" s="47">
        <f>SUMIFS($E$7:$E$20000,$C$7:$C$20000,"Income",$F$7:$F$20000,J31)</f>
        <v/>
      </c>
      <c r="L31" s="47">
        <f>SUMIFS($E$7:$E$20000,$C$7:$C$20000,"Expense",$F$7:$F$20000,J31)</f>
        <v/>
      </c>
    </row>
    <row r="32" s="41">
      <c r="B32" s="15" t="n"/>
      <c r="C32" s="15" t="n"/>
      <c r="D32" s="15" t="n"/>
      <c r="E32" s="48" t="n"/>
      <c r="F32" s="15" t="n"/>
      <c r="G32" s="15" t="n"/>
      <c r="H32" s="15" t="n"/>
      <c r="J32" s="13" t="inlineStr">
        <is>
          <t>Alipay</t>
        </is>
      </c>
      <c r="K32" s="47">
        <f>SUMIFS($E$7:$E$20000,$C$7:$C$20000,"Income",$F$7:$F$20000,J32)</f>
        <v/>
      </c>
      <c r="L32" s="47">
        <f>SUMIFS($E$7:$E$20000,$C$7:$C$20000,"Expense",$F$7:$F$20000,J32)</f>
        <v/>
      </c>
    </row>
    <row r="33" s="41">
      <c r="B33" s="15" t="n"/>
      <c r="C33" s="15" t="n"/>
      <c r="D33" s="15" t="n"/>
      <c r="E33" s="48" t="n"/>
      <c r="F33" s="15" t="n"/>
      <c r="G33" s="15" t="n"/>
      <c r="H33" s="15" t="n"/>
      <c r="J33" s="13" t="inlineStr">
        <is>
          <t>Cash</t>
        </is>
      </c>
      <c r="K33" s="47">
        <f>SUMIFS($E$7:$E$20000,$C$7:$C$20000,"Income",$F$7:$F$20000,J33)</f>
        <v/>
      </c>
      <c r="L33" s="47">
        <f>SUMIFS($E$7:$E$20000,$C$7:$C$20000,"Expense",$F$7:$F$20000,J33)</f>
        <v/>
      </c>
    </row>
    <row r="34" s="41">
      <c r="B34" s="15" t="n"/>
      <c r="C34" s="15" t="n"/>
      <c r="D34" s="15" t="n"/>
      <c r="E34" s="48" t="n"/>
      <c r="F34" s="15" t="n"/>
      <c r="G34" s="15" t="n"/>
      <c r="H34" s="15" t="n"/>
      <c r="J34" s="13" t="inlineStr">
        <is>
          <t>Bank of China</t>
        </is>
      </c>
      <c r="K34" s="47">
        <f>SUMIFS($E$7:$E$20000,$C$7:$C$20000,"Income",$F$7:$F$20000,J34)</f>
        <v/>
      </c>
      <c r="L34" s="47">
        <f>SUMIFS($E$7:$E$20000,$C$7:$C$20000,"Expense",$F$7:$F$20000,J34)</f>
        <v/>
      </c>
    </row>
    <row r="35" s="41">
      <c r="B35" s="15" t="n"/>
      <c r="C35" s="15" t="n"/>
      <c r="D35" s="15" t="n"/>
      <c r="E35" s="48" t="n"/>
      <c r="F35" s="15" t="n"/>
      <c r="G35" s="15" t="n"/>
      <c r="H35" s="15" t="n"/>
      <c r="J35" s="13" t="inlineStr">
        <is>
          <t>Agricultural Bank of China</t>
        </is>
      </c>
      <c r="K35" s="47">
        <f>SUMIFS($E$7:$E$20000,$C$7:$C$20000,"Income",$F$7:$F$20000,J35)</f>
        <v/>
      </c>
      <c r="L35" s="47">
        <f>SUMIFS($E$7:$E$20000,$C$7:$C$20000,"Expense",$F$7:$F$20000,J35)</f>
        <v/>
      </c>
    </row>
    <row r="36" s="41">
      <c r="B36" s="15" t="n"/>
      <c r="C36" s="15" t="n"/>
      <c r="D36" s="15" t="n"/>
      <c r="E36" s="48" t="n"/>
      <c r="F36" s="15" t="n"/>
      <c r="G36" s="15" t="n"/>
      <c r="H36" s="15" t="n"/>
      <c r="J36" s="13" t="inlineStr">
        <is>
          <t>Total</t>
        </is>
      </c>
      <c r="K36" s="47">
        <f>SUM(K31:K35)</f>
        <v/>
      </c>
      <c r="L36" s="47">
        <f>SUM(L31:L35)</f>
        <v/>
      </c>
    </row>
  </sheetData>
  <mergeCells count="2">
    <mergeCell ref="B2:M2"/>
    <mergeCell ref="C4:D4"/>
  </mergeCells>
  <dataValidations count="1">
    <dataValidation sqref="C7:C30 C31:C34 C35:C36 C37:C1048576" showDropDown="0" showInputMessage="1" showErrorMessage="1" allowBlank="1" type="list">
      <formula1>"收入,支出"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2021-10-13T05:34:00Z</dcterms:created>
  <dcterms:modified xmlns:dcterms="http://purl.org/dc/terms/" xmlns:xsi="http://www.w3.org/2001/XMLSchema-instance" xsi:type="dcterms:W3CDTF">2026-05-06T11:00:44Z</dcterms:modified>
  <cp:lastModifiedBy>Liu Xi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24C3CEA89A754456AB8F9E2B9486747E</vt:lpwstr>
  </property>
  <property name="KSOProductBuildVer" fmtid="{D5CDD505-2E9C-101B-9397-08002B2CF9AE}" pid="3">
    <vt:lpwstr xmlns:vt="http://schemas.openxmlformats.org/officeDocument/2006/docPropsVTypes">2052-10.1.0.7698</vt:lpwstr>
  </property>
  <property name="KSOTemplateUUID" fmtid="{D5CDD505-2E9C-101B-9397-08002B2CF9AE}" pid="4">
    <vt:lpwstr xmlns:vt="http://schemas.openxmlformats.org/officeDocument/2006/docPropsVTypes">v1.0_mb_j+M7O+VDOVi6m3K4MW1HvQ==</vt:lpwstr>
  </property>
  <property name="KSORubyTemplateID" linkTarget="0" fmtid="{D5CDD505-2E9C-101B-9397-08002B2CF9AE}" pid="5">
    <vt:lpwstr xmlns:vt="http://schemas.openxmlformats.org/officeDocument/2006/docPropsVTypes"/>
  </property>
</Properties>
</file>