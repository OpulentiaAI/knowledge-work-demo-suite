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Income Expense Dashboard" sheetId="1" state="visible" r:id="rId1"/>
    <sheet xmlns:r="http://schemas.openxmlformats.org/officeDocument/2006/relationships" name="Income Details" sheetId="2" state="visible" r:id="rId2"/>
    <sheet xmlns:r="http://schemas.openxmlformats.org/officeDocument/2006/relationships" name="Expense Details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0.00_);[Red]\(0.00\)"/>
    <numFmt numFmtId="166" formatCode="_ * #,##0.00_ ;_ * \-#,##0.00_ ;_ * &quot;-&quot;??_ ;_ @_ "/>
    <numFmt numFmtId="167" formatCode="d"/>
  </numFmts>
  <fonts count="35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theme="1"/>
      <sz val="12"/>
    </font>
    <font>
      <name val="微软雅黑"/>
      <charset val="134"/>
      <b val="1"/>
      <color theme="1"/>
      <sz val="26"/>
    </font>
    <font>
      <name val="微软雅黑"/>
      <charset val="134"/>
      <sz val="12"/>
    </font>
    <font>
      <name val="微软雅黑"/>
      <charset val="134"/>
      <b val="1"/>
      <color theme="0"/>
      <sz val="12"/>
    </font>
    <font>
      <name val="微软雅黑"/>
      <charset val="134"/>
      <b val="1"/>
      <sz val="12"/>
    </font>
    <font>
      <name val="微软雅黑"/>
      <charset val="134"/>
      <b val="1"/>
      <color theme="1"/>
      <sz val="28"/>
    </font>
    <font>
      <name val="微软雅黑"/>
      <charset val="134"/>
      <b val="1"/>
      <color theme="1" tint="0.15"/>
      <sz val="28"/>
    </font>
    <font>
      <name val="微软雅黑"/>
      <charset val="134"/>
      <b val="1"/>
      <color theme="1"/>
      <sz val="24"/>
    </font>
    <font>
      <name val="微软雅黑"/>
      <charset val="134"/>
      <color theme="1"/>
      <sz val="18"/>
    </font>
    <font>
      <name val="微软雅黑"/>
      <charset val="134"/>
      <b val="1"/>
      <color theme="0"/>
      <sz val="14"/>
    </font>
    <font>
      <name val="微软雅黑"/>
      <charset val="134"/>
      <color theme="0"/>
      <sz val="14"/>
    </font>
    <font>
      <name val="微软雅黑"/>
      <charset val="134"/>
      <b val="1"/>
      <color theme="1" tint="0.25"/>
      <sz val="12"/>
    </font>
    <font>
      <name val="微软雅黑"/>
      <charset val="134"/>
      <b val="1"/>
      <color theme="1" tint="0.15"/>
      <sz val="16"/>
    </font>
    <font>
      <name val="微软雅黑"/>
      <charset val="134"/>
      <color theme="1" tint="0.15"/>
      <sz val="12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8E1B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42">
    <border>
      <left/>
      <right/>
      <top/>
      <bottom/>
      <diagonal/>
    </border>
    <border>
      <left style="thin">
        <color theme="0" tint="-0.25"/>
      </left>
      <right style="thin">
        <color theme="0"/>
      </right>
      <top style="thin">
        <color theme="0" tint="-0.25"/>
      </top>
      <bottom/>
      <diagonal/>
    </border>
    <border>
      <left style="thin">
        <color theme="0"/>
      </left>
      <right/>
      <top style="thin">
        <color theme="0" tint="-0.25"/>
      </top>
      <bottom/>
      <diagonal/>
    </border>
    <border>
      <left style="thin">
        <color theme="0"/>
      </left>
      <right style="thin">
        <color theme="0"/>
      </right>
      <top style="thin">
        <color theme="0" tint="-0.25"/>
      </top>
      <bottom/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/>
      <top/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15"/>
      </left>
      <right/>
      <top style="thin">
        <color theme="0" tint="-0.15"/>
      </top>
      <bottom/>
      <diagonal/>
    </border>
    <border>
      <left/>
      <right/>
      <top style="thin">
        <color theme="0" tint="-0.15"/>
      </top>
      <bottom/>
      <diagonal/>
    </border>
    <border>
      <left/>
      <right style="thin">
        <color theme="0" tint="-0.15"/>
      </right>
      <top style="thin">
        <color theme="0" tint="-0.15"/>
      </top>
      <bottom/>
      <diagonal/>
    </border>
    <border>
      <left style="thin">
        <color theme="0" tint="-0.15"/>
      </left>
      <right style="thin">
        <color theme="0"/>
      </right>
      <top style="thin">
        <color theme="0" tint="-0.0499893185216834"/>
      </top>
      <bottom/>
      <diagonal/>
    </border>
    <border>
      <left style="thin">
        <color theme="0"/>
      </left>
      <right style="thin">
        <color theme="0"/>
      </right>
      <top style="thin">
        <color theme="0" tint="-0.0499893185216834"/>
      </top>
      <bottom/>
      <diagonal/>
    </border>
    <border>
      <left style="thin">
        <color theme="0"/>
      </left>
      <right style="thin">
        <color theme="0" tint="-0.15"/>
      </right>
      <top style="thin">
        <color theme="0" tint="-0.0499893185216834"/>
      </top>
      <bottom/>
      <diagonal/>
    </border>
    <border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 tint="-0.15"/>
      </left>
      <right/>
      <top/>
      <bottom/>
      <diagonal/>
    </border>
    <border>
      <left/>
      <right style="thin">
        <color theme="0" tint="-0.15"/>
      </right>
      <top/>
      <bottom/>
      <diagonal/>
    </border>
    <border>
      <left style="thin">
        <color theme="0" tint="-0.15"/>
      </left>
      <right/>
      <top/>
      <bottom style="thin">
        <color theme="0" tint="-0.15"/>
      </bottom>
      <diagonal/>
    </border>
    <border>
      <left/>
      <right/>
      <top/>
      <bottom style="thin">
        <color theme="0" tint="-0.15"/>
      </bottom>
      <diagonal/>
    </border>
    <border>
      <left/>
      <right style="thin">
        <color theme="0" tint="-0.15"/>
      </right>
      <top/>
      <bottom style="thin">
        <color theme="0" tint="-0.15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7" fillId="5" borderId="0" applyAlignment="1">
      <alignment vertical="center"/>
    </xf>
    <xf numFmtId="0" fontId="19" fillId="9" borderId="2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7" fillId="12" borderId="0" applyAlignment="1">
      <alignment vertical="center"/>
    </xf>
    <xf numFmtId="0" fontId="22" fillId="13" borderId="0" applyAlignment="1">
      <alignment vertical="center"/>
    </xf>
    <xf numFmtId="43" fontId="0" fillId="0" borderId="0" applyAlignment="1">
      <alignment vertical="center"/>
    </xf>
    <xf numFmtId="0" fontId="16" fillId="15" borderId="0" applyAlignment="1">
      <alignment vertical="center"/>
    </xf>
    <xf numFmtId="0" fontId="23" fillId="0" borderId="0" applyAlignment="1">
      <alignment vertical="center"/>
    </xf>
    <xf numFmtId="9" fontId="0" fillId="0" borderId="0" applyAlignment="1">
      <alignment vertical="center"/>
    </xf>
    <xf numFmtId="0" fontId="24" fillId="0" borderId="0" applyAlignment="1">
      <alignment vertical="center"/>
    </xf>
    <xf numFmtId="0" fontId="0" fillId="18" borderId="26" applyAlignment="1">
      <alignment vertical="center"/>
    </xf>
    <xf numFmtId="0" fontId="16" fillId="2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25" applyAlignment="1">
      <alignment vertical="center"/>
    </xf>
    <xf numFmtId="0" fontId="21" fillId="0" borderId="25" applyAlignment="1">
      <alignment vertical="center"/>
    </xf>
    <xf numFmtId="0" fontId="16" fillId="4" borderId="0" applyAlignment="1">
      <alignment vertical="center"/>
    </xf>
    <xf numFmtId="0" fontId="26" fillId="0" borderId="28" applyAlignment="1">
      <alignment vertical="center"/>
    </xf>
    <xf numFmtId="0" fontId="16" fillId="22" borderId="0" applyAlignment="1">
      <alignment vertical="center"/>
    </xf>
    <xf numFmtId="0" fontId="31" fillId="23" borderId="29" applyAlignment="1">
      <alignment vertical="center"/>
    </xf>
    <xf numFmtId="0" fontId="32" fillId="23" borderId="24" applyAlignment="1">
      <alignment vertical="center"/>
    </xf>
    <xf numFmtId="0" fontId="33" fillId="25" borderId="30" applyAlignment="1">
      <alignment vertical="center"/>
    </xf>
    <xf numFmtId="0" fontId="17" fillId="27" borderId="0" applyAlignment="1">
      <alignment vertical="center"/>
    </xf>
    <xf numFmtId="0" fontId="16" fillId="28" borderId="0" applyAlignment="1">
      <alignment vertical="center"/>
    </xf>
    <xf numFmtId="0" fontId="34" fillId="0" borderId="31" applyAlignment="1">
      <alignment vertical="center"/>
    </xf>
    <xf numFmtId="0" fontId="25" fillId="0" borderId="27" applyAlignment="1">
      <alignment vertical="center"/>
    </xf>
    <xf numFmtId="0" fontId="18" fillId="8" borderId="0" applyAlignment="1">
      <alignment vertical="center"/>
    </xf>
    <xf numFmtId="0" fontId="20" fillId="10" borderId="0" applyAlignment="1">
      <alignment vertical="center"/>
    </xf>
    <xf numFmtId="0" fontId="17" fillId="31" borderId="0" applyAlignment="1">
      <alignment vertical="center"/>
    </xf>
    <xf numFmtId="0" fontId="16" fillId="24" borderId="0" applyAlignment="1">
      <alignment vertical="center"/>
    </xf>
    <xf numFmtId="0" fontId="17" fillId="29" borderId="0" applyAlignment="1">
      <alignment vertical="center"/>
    </xf>
    <xf numFmtId="0" fontId="17" fillId="32" borderId="0" applyAlignment="1">
      <alignment vertical="center"/>
    </xf>
    <xf numFmtId="0" fontId="17" fillId="21" borderId="0" applyAlignment="1">
      <alignment vertical="center"/>
    </xf>
    <xf numFmtId="0" fontId="17" fillId="7" borderId="0" applyAlignment="1">
      <alignment vertical="center"/>
    </xf>
    <xf numFmtId="0" fontId="16" fillId="14" borderId="0" applyAlignment="1">
      <alignment vertical="center"/>
    </xf>
    <xf numFmtId="0" fontId="16" fillId="6" borderId="0" applyAlignment="1">
      <alignment vertical="center"/>
    </xf>
    <xf numFmtId="0" fontId="17" fillId="19" borderId="0" applyAlignment="1">
      <alignment vertical="center"/>
    </xf>
    <xf numFmtId="0" fontId="17" fillId="33" borderId="0" applyAlignment="1">
      <alignment vertical="center"/>
    </xf>
    <xf numFmtId="0" fontId="16" fillId="17" borderId="0" applyAlignment="1">
      <alignment vertical="center"/>
    </xf>
    <xf numFmtId="0" fontId="17" fillId="26" borderId="0" applyAlignment="1">
      <alignment vertical="center"/>
    </xf>
    <xf numFmtId="0" fontId="16" fillId="11" borderId="0" applyAlignment="1">
      <alignment vertical="center"/>
    </xf>
    <xf numFmtId="0" fontId="16" fillId="2" borderId="0" applyAlignment="1">
      <alignment vertical="center"/>
    </xf>
    <xf numFmtId="0" fontId="17" fillId="16" borderId="0" applyAlignment="1">
      <alignment vertical="center"/>
    </xf>
    <xf numFmtId="0" fontId="16" fillId="30" borderId="0" applyAlignment="1">
      <alignment vertical="center"/>
    </xf>
  </cellStyleXfs>
  <cellXfs count="9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5" fontId="5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166" fontId="4" fillId="0" borderId="4" applyAlignment="1" pivotButton="0" quotePrefix="0" xfId="0">
      <alignment horizontal="center" vertical="center"/>
    </xf>
    <xf numFmtId="166" fontId="4" fillId="0" borderId="5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12" fillId="2" borderId="9" applyAlignment="1" pivotButton="0" quotePrefix="0" xfId="0">
      <alignment vertical="center"/>
    </xf>
    <xf numFmtId="0" fontId="12" fillId="2" borderId="1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 wrapText="1"/>
    </xf>
    <xf numFmtId="167" fontId="13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7" fontId="13" fillId="0" borderId="15" applyAlignment="1" pivotButton="0" quotePrefix="0" xfId="0">
      <alignment horizontal="center" vertical="center"/>
    </xf>
    <xf numFmtId="167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166" fontId="14" fillId="0" borderId="1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 wrapText="1"/>
    </xf>
    <xf numFmtId="164" fontId="5" fillId="2" borderId="19" applyAlignment="1" pivotButton="0" quotePrefix="0" xfId="0">
      <alignment horizontal="center" vertical="center" wrapText="1"/>
    </xf>
    <xf numFmtId="164" fontId="5" fillId="2" borderId="2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164" fontId="15" fillId="3" borderId="21" applyAlignment="1" pivotButton="0" quotePrefix="0" xfId="0">
      <alignment horizontal="center" vertical="center" wrapText="1"/>
    </xf>
    <xf numFmtId="164" fontId="15" fillId="3" borderId="22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6" fontId="4" fillId="0" borderId="23" applyAlignment="1" pivotButton="0" quotePrefix="0" xfId="0">
      <alignment horizontal="center" vertical="center"/>
    </xf>
    <xf numFmtId="166" fontId="4" fillId="0" borderId="15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4" fillId="0" borderId="15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0" fillId="0" borderId="9" pivotButton="0" quotePrefix="0" xfId="0"/>
    <xf numFmtId="164" fontId="5" fillId="2" borderId="32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164" fontId="15" fillId="3" borderId="21" applyAlignment="1" pivotButton="0" quotePrefix="0" xfId="0">
      <alignment horizontal="center" vertical="center" wrapText="1"/>
    </xf>
    <xf numFmtId="164" fontId="15" fillId="3" borderId="22" applyAlignment="1" pivotButton="0" quotePrefix="0" xfId="0">
      <alignment horizontal="center" vertical="center" wrapText="1"/>
    </xf>
    <xf numFmtId="167" fontId="13" fillId="0" borderId="14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6" fontId="4" fillId="0" borderId="23" applyAlignment="1" pivotButton="0" quotePrefix="0" xfId="0">
      <alignment horizontal="center" vertical="center"/>
    </xf>
    <xf numFmtId="166" fontId="4" fillId="0" borderId="15" applyAlignment="1" pivotButton="0" quotePrefix="0" xfId="0">
      <alignment horizontal="center" vertical="center"/>
    </xf>
    <xf numFmtId="167" fontId="13" fillId="0" borderId="15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/>
    </xf>
    <xf numFmtId="167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66" fontId="14" fillId="0" borderId="1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164" fontId="5" fillId="2" borderId="1" applyAlignment="1" pivotButton="0" quotePrefix="0" xfId="0">
      <alignment horizontal="center" vertical="center"/>
    </xf>
    <xf numFmtId="165" fontId="5" fillId="2" borderId="3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166" fontId="4" fillId="0" borderId="4" applyAlignment="1" pivotButton="0" quotePrefix="0" xfId="0">
      <alignment horizontal="center" vertical="center"/>
    </xf>
    <xf numFmtId="166" fontId="4" fillId="0" borderId="5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fill>
        <patternFill patternType="solid">
          <bgColor theme="6" tint="0.799951170384838"/>
        </patternFill>
      </fill>
    </dxf>
    <dxf>
      <fill>
        <patternFill patternType="solid">
          <bgColor theme="4" tint="0.799951170384838"/>
        </patternFill>
      </fill>
    </dxf>
    <dxf>
      <fill>
        <patternFill patternType="solid">
          <bgColor theme="5" tint="0.799951170384838"/>
        </patternFill>
      </fill>
    </dxf>
    <dxf>
      <font>
        <color theme="0"/>
      </font>
      <fill>
        <patternFill patternType="solid">
          <bgColor theme="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4039929536113"/>
          <y val="0.0126394493235224"/>
          <w val="0.839518496770405"/>
          <h val="0.9613102302397341"/>
        </manualLayout>
      </layout>
      <barChart>
        <barDir val="bar"/>
        <grouping val="clustered"/>
        <varyColors val="0"/>
        <ser>
          <idx val="0"/>
          <order val="0"/>
          <tx>
            <strRef>
              <f>收入支出看板!$K$6</f>
              <strCache>
                <ptCount val="1"/>
                <pt idx="0">
                  <v>Income Amount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val>
            <numRef>
              <f>收入支出看板!$K$7:$K$37</f>
              <numCache>
                <formatCode xml:space="preserve">_ * #,##0.00_ ;_ * \-#,##0.00_ ;_ * "-"??_ ;_ @_ </formatCode>
                <ptCount val="31"/>
                <pt idx="0">
                  <v>9</v>
                </pt>
                <pt idx="1">
                  <v>10</v>
                </pt>
                <pt idx="2">
                  <v>21</v>
                </pt>
                <pt idx="3">
                  <v>12</v>
                </pt>
                <pt idx="4">
                  <v>11</v>
                </pt>
                <pt idx="5">
                  <v>20</v>
                </pt>
                <pt idx="6">
                  <v>30</v>
                </pt>
                <pt idx="7">
                  <v>30</v>
                </pt>
                <pt idx="8">
                  <v>13</v>
                </pt>
                <pt idx="9">
                  <v>7</v>
                </pt>
                <pt idx="10">
                  <v>14</v>
                </pt>
                <pt idx="11">
                  <v>15</v>
                </pt>
                <pt idx="12">
                  <v>25</v>
                </pt>
                <pt idx="13">
                  <v>27</v>
                </pt>
                <pt idx="14">
                  <v>18</v>
                </pt>
                <pt idx="15">
                  <v>19</v>
                </pt>
                <pt idx="16">
                  <v>20</v>
                </pt>
                <pt idx="17">
                  <v>31</v>
                </pt>
                <pt idx="18">
                  <v>12</v>
                </pt>
                <pt idx="19">
                  <v>13</v>
                </pt>
                <pt idx="20">
                  <v>17</v>
                </pt>
                <pt idx="21">
                  <v>18</v>
                </pt>
                <pt idx="22">
                  <v>9</v>
                </pt>
                <pt idx="23">
                  <v>10</v>
                </pt>
                <pt idx="24">
                  <v>21</v>
                </pt>
                <pt idx="25">
                  <v>12</v>
                </pt>
                <pt idx="26">
                  <v>11</v>
                </pt>
                <pt idx="27">
                  <v>20</v>
                </pt>
                <pt idx="28">
                  <v>10</v>
                </pt>
                <pt idx="29">
                  <v>21</v>
                </pt>
                <pt idx="30">
                  <v>12</v>
                </pt>
              </numCache>
            </numRef>
          </val>
        </ser>
        <ser>
          <idx val="1"/>
          <order val="1"/>
          <tx>
            <strRef>
              <f>收入支出看板!$L$6</f>
              <strCache>
                <ptCount val="1"/>
                <pt idx="0">
                  <v>Expense Amount</v>
                </pt>
              </strCache>
            </strRef>
          </tx>
          <spPr>
            <a:solidFill xmlns:a="http://schemas.openxmlformats.org/drawingml/2006/main">
              <a:srgbClr val="FBB4C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val>
            <numRef>
              <f>收入支出看板!$L$7:$L$37</f>
              <numCache>
                <formatCode xml:space="preserve">_ * #,##0.00_ ;_ * \-#,##0.00_ ;_ * "-"??_ ;_ @_ </formatCode>
                <ptCount val="31"/>
                <pt idx="0">
                  <v>12</v>
                </pt>
                <pt idx="1">
                  <v>15</v>
                </pt>
                <pt idx="2">
                  <v>20</v>
                </pt>
                <pt idx="3">
                  <v>10</v>
                </pt>
                <pt idx="4">
                  <v>15</v>
                </pt>
                <pt idx="5">
                  <v>15</v>
                </pt>
                <pt idx="6">
                  <v>10</v>
                </pt>
                <pt idx="7">
                  <v>27</v>
                </pt>
                <pt idx="8">
                  <v>13</v>
                </pt>
                <pt idx="9">
                  <v>7</v>
                </pt>
                <pt idx="10">
                  <v>15</v>
                </pt>
                <pt idx="11">
                  <v>15</v>
                </pt>
                <pt idx="12">
                  <v>27</v>
                </pt>
                <pt idx="13">
                  <v>17</v>
                </pt>
                <pt idx="14">
                  <v>25</v>
                </pt>
                <pt idx="15">
                  <v>32</v>
                </pt>
                <pt idx="16">
                  <v>31</v>
                </pt>
                <pt idx="17">
                  <v>12</v>
                </pt>
                <pt idx="18">
                  <v>13</v>
                </pt>
                <pt idx="19">
                  <v>17</v>
                </pt>
                <pt idx="20">
                  <v>18</v>
                </pt>
                <pt idx="21">
                  <v>9</v>
                </pt>
                <pt idx="22">
                  <v>20</v>
                </pt>
                <pt idx="23">
                  <v>15</v>
                </pt>
                <pt idx="24">
                  <v>9</v>
                </pt>
                <pt idx="25">
                  <v>13</v>
                </pt>
                <pt idx="26">
                  <v>17</v>
                </pt>
                <pt idx="27">
                  <v>18</v>
                </pt>
                <pt idx="28">
                  <v>25</v>
                </pt>
                <pt idx="29">
                  <v>9</v>
                </pt>
                <pt idx="30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2"/>
        <overlap val="6"/>
        <axId val="115616104"/>
        <axId val="764251640"/>
      </barChart>
      <catAx>
        <axId val="115616104"/>
        <scaling>
          <orientation val="maxMin"/>
        </scaling>
        <delete val="0"/>
        <axPos val="l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  <crossAx val="764251640"/>
        <crosses val="autoZero"/>
        <auto val="1"/>
        <lblAlgn val="ctr"/>
        <lblOffset val="100"/>
        <noMultiLvlLbl val="0"/>
      </catAx>
      <valAx>
        <axId val="764251640"/>
        <scaling>
          <orientation val="minMax"/>
        </scaling>
        <delete val="1"/>
        <axPos val="t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_ * #,##0.00_ ;_ * \-#,##0.00_ ;_ * &quot;-&quot;??_ ;_ @_ 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  <crossAx val="115616104"/>
        <crosses val="autoZero"/>
        <crossBetween val="between"/>
      </valAx>
    </plotArea>
    <legend>
      <legendPos val="b"/>
      <legendEntry>
        <idx val="0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1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ayout>
        <manualLayout>
          <xMode val="edge"/>
          <yMode val="edge"/>
          <wMode val="factor"/>
          <hMode val="factor"/>
          <x val="0.173374114616871"/>
          <y val="0.97756942796107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r>
            <a:t/>
          </a:r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54660235494396"/>
          <y val="0.06274957216200799"/>
          <w val="0.937579798552986"/>
          <h val="0.670678836280662"/>
        </manualLayout>
      </layout>
      <barChart>
        <barDir val="col"/>
        <grouping val="clustered"/>
        <varyColors val="0"/>
        <ser>
          <idx val="0"/>
          <order val="0"/>
          <tx>
            <strRef>
              <f>收入支出看板!$Q$6</f>
              <strCache>
                <ptCount val="1"/>
                <pt idx="0">
                  <v>Income Amount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cat>
            <strRef>
              <f>收入支出看板!$P$7:$P$10</f>
              <strCache>
                <ptCount val="4"/>
                <pt idx="0">
                  <v>Cash Account</v>
                </pt>
                <pt idx="1">
                  <v>Bank of China</v>
                </pt>
                <pt idx="2">
                  <v>China Construction Bank</v>
                </pt>
                <pt idx="3">
                  <v>Other Accounts</v>
                </pt>
              </strCache>
            </strRef>
          </cat>
          <val>
            <numRef>
              <f>收入支出看板!$Q$7:$Q$10</f>
              <numCache>
                <formatCode xml:space="preserve">_ * #,##0.00_ ;_ * \-#,##0.00_ ;_ * "-"??_ ;_ @_ </formatCode>
                <ptCount val="4"/>
                <pt idx="0">
                  <v>404</v>
                </pt>
                <pt idx="1">
                  <v>616</v>
                </pt>
                <pt idx="2">
                  <v>557</v>
                </pt>
                <pt idx="3">
                  <v>861</v>
                </pt>
              </numCache>
            </numRef>
          </val>
        </ser>
        <ser>
          <idx val="1"/>
          <order val="1"/>
          <tx>
            <strRef>
              <f>收入支出看板!$R$6</f>
              <strCache>
                <ptCount val="1"/>
                <pt idx="0">
                  <v>Expense Amount</v>
                </pt>
              </strCache>
            </strRef>
          </tx>
          <spPr>
            <a:solidFill xmlns:a="http://schemas.openxmlformats.org/drawingml/2006/main">
              <a:srgbClr val="FBB4C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cat>
            <strRef>
              <f>收入支出看板!$P$7:$P$10</f>
              <strCache>
                <ptCount val="4"/>
                <pt idx="0">
                  <v>Cash Account</v>
                </pt>
                <pt idx="1">
                  <v>Bank of China</v>
                </pt>
                <pt idx="2">
                  <v>China Construction Bank</v>
                </pt>
                <pt idx="3">
                  <v>Other Accounts</v>
                </pt>
              </strCache>
            </strRef>
          </cat>
          <val>
            <numRef>
              <f>收入支出看板!$R$7:$R$10</f>
              <numCache>
                <formatCode xml:space="preserve">_ * #,##0.00_ ;_ * \-#,##0.00_ ;_ * "-"??_ ;_ @_ </formatCode>
                <ptCount val="4"/>
                <pt idx="0">
                  <v>413</v>
                </pt>
                <pt idx="1">
                  <v>558</v>
                </pt>
                <pt idx="2">
                  <v>575</v>
                </pt>
                <pt idx="3">
                  <v>888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88497953"/>
        <axId val="531459948"/>
      </barChart>
      <catAx>
        <axId val="388497953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  <crossAx val="531459948"/>
        <crosses val="autoZero"/>
        <auto val="1"/>
        <lblAlgn val="ctr"/>
        <lblOffset val="100"/>
        <noMultiLvlLbl val="0"/>
      </catAx>
      <valAx>
        <axId val="531459948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_ * #,##0.00_ ;_ * \-#,##0.00_ ;_ * &quot;-&quot;??_ ;_ @_ 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  <crossAx val="388497953"/>
        <crosses val="autoZero"/>
        <crossBetween val="between"/>
      </valAx>
    </plotArea>
    <legend>
      <legendPos val="b"/>
      <legendEntry>
        <idx val="0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1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r>
            <a:t/>
          </a:r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r>
            <a:t/>
          </a:r>
        </a:p>
      </txPr>
    </title>
    <plotArea>
      <layout/>
      <areaChart>
        <grouping val="standard"/>
        <varyColors val="0"/>
        <ser>
          <idx val="0"/>
          <order val="0"/>
          <tx>
            <strRef>
              <f>收入支出看板!$Q$15</f>
              <strCache>
                <ptCount val="1"/>
                <pt idx="0">
                  <v>Income Amount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dLbls>
            <delete val="1"/>
          </dLbls>
          <cat>
            <strRef>
              <f>收入支出看板!$P$16:$P$27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收入支出看板!$Q$16:$Q$27</f>
              <numCache>
                <formatCode xml:space="preserve">_ * #,##0.00_ ;_ * \-#,##0.00_ ;_ * "-"??_ ;_ @_ </formatCode>
                <ptCount val="12"/>
                <pt idx="0">
                  <v>140</v>
                </pt>
                <pt idx="1">
                  <v>150</v>
                </pt>
                <pt idx="2">
                  <v>60</v>
                </pt>
                <pt idx="3">
                  <v>270</v>
                </pt>
                <pt idx="4">
                  <v>518</v>
                </pt>
                <pt idx="5">
                  <v>190</v>
                </pt>
                <pt idx="6">
                  <v>200</v>
                </pt>
                <pt idx="7">
                  <v>310</v>
                </pt>
                <pt idx="8">
                  <v>120</v>
                </pt>
                <pt idx="9">
                  <v>130</v>
                </pt>
                <pt idx="10">
                  <v>170</v>
                </pt>
                <pt idx="11">
                  <v>180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8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r>
            <a:t/>
          </a:r>
        </a:p>
      </txPr>
    </title>
    <plotArea>
      <layout/>
      <areaChart>
        <grouping val="standard"/>
        <varyColors val="0"/>
        <ser>
          <idx val="0"/>
          <order val="0"/>
          <tx>
            <strRef>
              <f>收入支出看板!$R$15</f>
              <strCache>
                <ptCount val="1"/>
                <pt idx="0">
                  <v>Expense Amount</v>
                </pt>
              </strCache>
            </strRef>
          </tx>
          <spPr>
            <a:solidFill xmlns:a="http://schemas.openxmlformats.org/drawingml/2006/main">
              <a:srgbClr val="FBB4C1"/>
            </a:solidFill>
            <a:ln xmlns:a="http://schemas.openxmlformats.org/drawingml/2006/main">
              <a:noFill/>
              <a:prstDash val="solid"/>
            </a:ln>
          </spPr>
          <dLbls>
            <delete val="1"/>
          </dLbls>
          <cat>
            <strRef>
              <f>收入支出看板!$P$16:$P$27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收入支出看板!$R$16:$R$27</f>
              <numCache>
                <formatCode xml:space="preserve">_ * #,##0.00_ ;_ * \-#,##0.00_ ;_ * "-"??_ ;_ @_ </formatCode>
                <ptCount val="12"/>
                <pt idx="0">
                  <v>140</v>
                </pt>
                <pt idx="1">
                  <v>150</v>
                </pt>
                <pt idx="2">
                  <v>60</v>
                </pt>
                <pt idx="3">
                  <v>270</v>
                </pt>
                <pt idx="4">
                  <v>514</v>
                </pt>
                <pt idx="5">
                  <v>190</v>
                </pt>
                <pt idx="6">
                  <v>200</v>
                </pt>
                <pt idx="7">
                  <v>310</v>
                </pt>
                <pt idx="8">
                  <v>120</v>
                </pt>
                <pt idx="9">
                  <v>130</v>
                </pt>
                <pt idx="10">
                  <v>170</v>
                </pt>
                <pt idx="11">
                  <v>180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r>
            <a:t/>
          </a:r>
        </a:p>
      </txPr>
    </title>
    <plotArea>
      <layout/>
      <pieChart>
        <varyColors val="1"/>
        <ser>
          <idx val="0"/>
          <order val="0"/>
          <tx>
            <strRef>
              <f>收入支出看板!$Q$31</f>
              <strCache>
                <ptCount val="1"/>
                <pt idx="0">
                  <v>Income Amount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prstDash val="solid"/>
            </a:ln>
          </spPr>
          <explosion val="0"/>
          <dPt>
            <idx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elete val="1"/>
          </dLbls>
          <cat>
            <strRef>
              <f>收入支出看板!$P$32:$P$37</f>
              <strCache>
                <ptCount val="6"/>
                <pt idx="0">
                  <v>Project 1</v>
                </pt>
                <pt idx="1">
                  <v>Project 2</v>
                </pt>
                <pt idx="2">
                  <v>Project 3</v>
                </pt>
                <pt idx="3">
                  <v>Project 4</v>
                </pt>
                <pt idx="4">
                  <v>Project 5</v>
                </pt>
                <pt idx="5">
                  <v>Project 6</v>
                </pt>
              </strCache>
            </strRef>
          </cat>
          <val>
            <numRef>
              <f>收入支出看板!$Q$32:$Q$37</f>
              <numCache>
                <formatCode xml:space="preserve">_ * #,##0.00_ ;_ * \-#,##0.00_ ;_ * "-"??_ ;_ @_ </formatCode>
                <ptCount val="6"/>
                <pt idx="0">
                  <v>397</v>
                </pt>
                <pt idx="1">
                  <v>411</v>
                </pt>
                <pt idx="2">
                  <v>279</v>
                </pt>
                <pt idx="3">
                  <v>456</v>
                </pt>
                <pt idx="4">
                  <v>382</v>
                </pt>
                <pt idx="5">
                  <v>513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legendEntry>
        <idx val="0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1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2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3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4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5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r>
            <a:t/>
          </a:r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r>
            <a:t/>
          </a:r>
        </a:p>
      </txPr>
    </title>
    <plotArea>
      <layout/>
      <pieChart>
        <varyColors val="1"/>
        <ser>
          <idx val="0"/>
          <order val="0"/>
          <tx>
            <strRef>
              <f>收入支出看板!$R$31</f>
              <strCache>
                <ptCount val="1"/>
                <pt idx="0">
                  <v>Expense Amount</v>
                </pt>
              </strCache>
            </strRef>
          </tx>
          <spPr>
            <a:solidFill xmlns:a="http://schemas.openxmlformats.org/drawingml/2006/main">
              <a:srgbClr val="FBB4C1"/>
            </a:solidFill>
            <a:ln xmlns:a="http://schemas.openxmlformats.org/drawingml/2006/main">
              <a:prstDash val="solid"/>
            </a:ln>
          </spPr>
          <explosion val="0"/>
          <dPt>
            <idx val="0"/>
            <bubble3D val="0"/>
            <spPr>
              <a:solidFill xmlns:a="http://schemas.openxmlformats.org/drawingml/2006/main">
                <a:srgbClr val="FBB4C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BB4C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4C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BB4C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BB4C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BB4C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elete val="1"/>
          </dLbls>
          <cat>
            <strRef>
              <f>收入支出看板!$P$32:$P$37</f>
              <strCache>
                <ptCount val="6"/>
                <pt idx="0">
                  <v>Project 1</v>
                </pt>
                <pt idx="1">
                  <v>Project 2</v>
                </pt>
                <pt idx="2">
                  <v>Project 3</v>
                </pt>
                <pt idx="3">
                  <v>Project 4</v>
                </pt>
                <pt idx="4">
                  <v>Project 5</v>
                </pt>
                <pt idx="5">
                  <v>Project 6</v>
                </pt>
              </strCache>
            </strRef>
          </cat>
          <val>
            <numRef>
              <f>收入支出看板!$R$32:$R$37</f>
              <numCache>
                <formatCode xml:space="preserve">_ * #,##0.00_ ;_ * \-#,##0.00_ ;_ * "-"??_ ;_ @_ </formatCode>
                <ptCount val="6"/>
                <pt idx="0">
                  <v>424</v>
                </pt>
                <pt idx="1">
                  <v>534</v>
                </pt>
                <pt idx="2">
                  <v>273</v>
                </pt>
                <pt idx="3">
                  <v>476</v>
                </pt>
                <pt idx="4">
                  <v>291</v>
                </pt>
                <pt idx="5">
                  <v>436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legendEntry>
        <idx val="0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1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2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3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4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egendEntry>
        <idx val="5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/>
            </a:r>
          </a:p>
        </txPr>
      </legendEntry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r>
            <a:t/>
          </a:r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>
    <from>
      <col>12</col>
      <colOff>34925</colOff>
      <row>4</row>
      <rowOff>1270</rowOff>
    </from>
    <to>
      <col>15</col>
      <colOff>26035</colOff>
      <row>37</row>
      <rowOff>278765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25400</colOff>
      <row>3</row>
      <rowOff>205740</rowOff>
    </from>
    <to>
      <col>24</col>
      <colOff>81915</colOff>
      <row>10</row>
      <rowOff>276225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18</col>
      <colOff>71755</colOff>
      <row>13</row>
      <rowOff>40640</rowOff>
    </from>
    <to>
      <col>24</col>
      <colOff>186690</colOff>
      <row>20</row>
      <rowOff>118110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18</col>
      <colOff>82550</colOff>
      <row>20</row>
      <rowOff>146050</rowOff>
    </from>
    <to>
      <col>24</col>
      <colOff>205740</colOff>
      <row>27</row>
      <rowOff>288925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18</col>
      <colOff>15240</colOff>
      <row>29</row>
      <rowOff>57150</rowOff>
    </from>
    <to>
      <col>21</col>
      <colOff>159385</colOff>
      <row>37</row>
      <rowOff>294640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21</col>
      <colOff>215900</colOff>
      <row>28</row>
      <rowOff>314960</rowOff>
    </from>
    <to>
      <col>24</col>
      <colOff>339725</colOff>
      <row>37</row>
      <rowOff>298450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DD38"/>
  <sheetViews>
    <sheetView showGridLines="0" tabSelected="1" workbookViewId="0">
      <selection activeCell="B2" sqref="B2:X2"/>
    </sheetView>
  </sheetViews>
  <sheetFormatPr baseColWidth="8" defaultColWidth="9" defaultRowHeight="17.25"/>
  <cols>
    <col width="2" customWidth="1" style="43" min="1" max="1"/>
    <col width="5.375" customWidth="1" style="43" min="2" max="8"/>
    <col width="2.75" customWidth="1" style="43" min="9" max="9"/>
    <col width="11.625" customWidth="1" style="67" min="10" max="10"/>
    <col width="11.625" customWidth="1" style="43" min="11" max="12"/>
    <col width="5" customWidth="1" style="43" min="13" max="13"/>
    <col width="10.25" customWidth="1" style="43" min="14" max="14"/>
    <col width="12.875" customWidth="1" style="43" min="15" max="15"/>
    <col width="10.875" customWidth="1" style="43" min="16" max="18"/>
    <col width="11" customWidth="1" style="43" min="19" max="20"/>
    <col width="9" customWidth="1" style="43" min="21" max="16331"/>
    <col width="9" customWidth="1" style="24" min="16332" max="16334"/>
    <col width="9" customWidth="1" style="24" min="16335" max="16363"/>
    <col width="9" customWidth="1" style="25" min="16364" max="16384"/>
  </cols>
  <sheetData>
    <row r="1" ht="15" customFormat="1" customHeight="1" s="32">
      <c r="A1" s="32" t="n"/>
      <c r="B1" s="32" t="n"/>
      <c r="C1" s="32" t="n"/>
      <c r="D1" s="32" t="n"/>
      <c r="E1" s="27" t="n"/>
      <c r="F1" s="27" t="n"/>
      <c r="G1" s="27" t="n"/>
      <c r="H1" s="27" t="n"/>
      <c r="I1" s="27" t="n"/>
      <c r="J1" s="68" t="n"/>
      <c r="XDD1" s="24" t="n"/>
    </row>
    <row r="2" ht="40" customFormat="1" customHeight="1" s="32">
      <c r="A2" s="28" t="n"/>
      <c r="B2" s="29" t="inlineStr">
        <is>
          <t>Financial Management - Income Expense Dashboard</t>
        </is>
      </c>
      <c r="XDD2" s="24" t="n"/>
    </row>
    <row r="3" ht="9" customFormat="1" customHeight="1" s="32">
      <c r="A3" s="32" t="n"/>
      <c r="B3" s="30" t="n"/>
      <c r="C3" s="31" t="n"/>
      <c r="D3" s="32" t="n"/>
      <c r="E3" s="27" t="n"/>
      <c r="F3" s="27" t="n"/>
      <c r="G3" s="27" t="n"/>
      <c r="H3" s="27" t="n"/>
      <c r="I3" s="27" t="n"/>
      <c r="J3" s="68" t="n"/>
      <c r="XDD3" s="24" t="n"/>
    </row>
    <row r="4" ht="17" customFormat="1" customHeight="1" s="32">
      <c r="A4" s="32" t="n"/>
      <c r="G4" s="27" t="n"/>
      <c r="H4" s="27" t="n"/>
      <c r="I4" s="27" t="n"/>
      <c r="J4" s="68" t="n"/>
      <c r="XDD4" s="24" t="n"/>
    </row>
    <row r="5" ht="27" customFormat="1" customHeight="1" s="32">
      <c r="A5" s="32" t="n"/>
      <c r="B5" s="33" t="n">
        <v>2021</v>
      </c>
      <c r="C5" s="69" t="n"/>
      <c r="D5" s="35" t="inlineStr">
        <is>
          <t>Year</t>
        </is>
      </c>
      <c r="E5" s="35" t="n">
        <v>5</v>
      </c>
      <c r="F5" s="35" t="inlineStr">
        <is>
          <t>Month</t>
        </is>
      </c>
      <c r="G5" s="36" t="n"/>
      <c r="H5" s="37" t="n"/>
      <c r="I5" s="27" t="n"/>
      <c r="J5" s="70" t="inlineStr">
        <is>
          <t>Daily Summary</t>
        </is>
      </c>
      <c r="K5" s="71" t="n"/>
      <c r="L5" s="72" t="n"/>
      <c r="P5" s="70" t="inlineStr">
        <is>
          <t>Account Summary</t>
        </is>
      </c>
      <c r="Q5" s="71" t="n"/>
      <c r="R5" s="72" t="n"/>
      <c r="XDD5" s="24" t="n"/>
    </row>
    <row r="6" ht="27" customFormat="1" customHeight="1" s="38">
      <c r="A6" s="38" t="n"/>
      <c r="B6" s="39" t="inlineStr">
        <is>
          <t>Sun</t>
        </is>
      </c>
      <c r="C6" s="40" t="inlineStr">
        <is>
          <t>Mon</t>
        </is>
      </c>
      <c r="D6" s="40" t="inlineStr">
        <is>
          <t>Tue</t>
        </is>
      </c>
      <c r="E6" s="40" t="inlineStr">
        <is>
          <t>Wed</t>
        </is>
      </c>
      <c r="F6" s="40" t="inlineStr">
        <is>
          <t>Thu</t>
        </is>
      </c>
      <c r="G6" s="40" t="inlineStr">
        <is>
          <t>Fri</t>
        </is>
      </c>
      <c r="H6" s="41" t="inlineStr">
        <is>
          <t>Sat</t>
        </is>
      </c>
      <c r="I6" s="59" t="n"/>
      <c r="J6" s="73" t="inlineStr">
        <is>
          <t>Date</t>
        </is>
      </c>
      <c r="K6" s="74" t="inlineStr">
        <is>
          <t>Income Amount</t>
        </is>
      </c>
      <c r="L6" s="74" t="inlineStr">
        <is>
          <t>Expense Amount</t>
        </is>
      </c>
      <c r="P6" s="73" t="inlineStr">
        <is>
          <t>Account Name</t>
        </is>
      </c>
      <c r="Q6" s="74" t="inlineStr">
        <is>
          <t>Income Amount</t>
        </is>
      </c>
      <c r="R6" s="74" t="inlineStr">
        <is>
          <t>Expense Amount</t>
        </is>
      </c>
    </row>
    <row r="7" ht="25" customFormat="1" customHeight="1" s="38">
      <c r="A7" s="38" t="n"/>
      <c r="B7" s="75">
        <f>DATE($B$5,$E$5,1)-WEEKDAY(DATE(B5,E5,1),2)</f>
        <v/>
      </c>
      <c r="C7" s="75">
        <f>B7+1</f>
        <v/>
      </c>
      <c r="D7" s="75">
        <f>C7+1</f>
        <v/>
      </c>
      <c r="E7" s="75">
        <f>D7+1</f>
        <v/>
      </c>
      <c r="F7" s="75">
        <f>E7+1</f>
        <v/>
      </c>
      <c r="G7" s="75">
        <f>F7+1</f>
        <v/>
      </c>
      <c r="H7" s="75">
        <f>G7+1</f>
        <v/>
      </c>
      <c r="I7" s="59" t="n"/>
      <c r="J7" s="76">
        <f>IF(MONTH(DATE($B$5,$E$5,ROW()-6))=$E$5,DATE($B$5,$E$5,ROW()-6),"")</f>
        <v/>
      </c>
      <c r="K7" s="77">
        <f>SUMIF(Income Details!$B$5:$B$20000,J7,Income Details!$E$5:$E$20000)</f>
        <v/>
      </c>
      <c r="L7" s="77">
        <f>SUMIF(Expense Details!$B$5:$B$20000,J7,Expense Details!$E$5:$E$20000)</f>
        <v/>
      </c>
      <c r="P7" s="78" t="inlineStr">
        <is>
          <t>Cash Account</t>
        </is>
      </c>
      <c r="Q7" s="77">
        <f>SUMIF(Income Details!$F$5:$F$20000,P7,Income Details!$E$5:$E$20000)</f>
        <v/>
      </c>
      <c r="R7" s="77">
        <f>SUMIF(Expense Details!$F$5:$F$20000,P7,Expense Details!$E$5:$E$20000)</f>
        <v/>
      </c>
    </row>
    <row r="8" ht="25" customFormat="1" customHeight="1" s="43">
      <c r="A8" s="43" t="n"/>
      <c r="B8" s="79">
        <f>H7+1</f>
        <v/>
      </c>
      <c r="C8" s="79">
        <f>B8+1</f>
        <v/>
      </c>
      <c r="D8" s="79">
        <f>C8+1</f>
        <v/>
      </c>
      <c r="E8" s="79">
        <f>D8+1</f>
        <v/>
      </c>
      <c r="F8" s="79">
        <f>E8+1</f>
        <v/>
      </c>
      <c r="G8" s="79">
        <f>F8+1</f>
        <v/>
      </c>
      <c r="H8" s="79">
        <f>G8+1</f>
        <v/>
      </c>
      <c r="I8" s="65" t="n"/>
      <c r="J8" s="80">
        <f>IF(MONTH(DATE($B$5,$E$5,ROW()-6))=$E$5,DATE($B$5,$E$5,ROW()-6),"")</f>
        <v/>
      </c>
      <c r="K8" s="77">
        <f>SUMIF(Income Details!$B$5:$B$20000,J8,Income Details!$E$5:$E$20000)</f>
        <v/>
      </c>
      <c r="L8" s="77">
        <f>SUMIF(Expense Details!$B$5:$B$20000,J8,Expense Details!$E$5:$E$20000)</f>
        <v/>
      </c>
      <c r="P8" s="78" t="inlineStr">
        <is>
          <t>Bank of China</t>
        </is>
      </c>
      <c r="Q8" s="77">
        <f>SUMIF(Income Details!$F$5:$F$20000,P8,Income Details!$E$5:$E$20000)</f>
        <v/>
      </c>
      <c r="R8" s="77">
        <f>SUMIF(Expense Details!$F$5:$F$20000,P8,Expense Details!$E$5:$E$20000)</f>
        <v/>
      </c>
    </row>
    <row r="9" ht="25" customFormat="1" customHeight="1" s="43">
      <c r="A9" s="43" t="n"/>
      <c r="B9" s="79">
        <f>H8+1</f>
        <v/>
      </c>
      <c r="C9" s="79">
        <f>B9+1</f>
        <v/>
      </c>
      <c r="D9" s="79">
        <f>C9+1</f>
        <v/>
      </c>
      <c r="E9" s="79">
        <f>D9+1</f>
        <v/>
      </c>
      <c r="F9" s="79">
        <f>E9+1</f>
        <v/>
      </c>
      <c r="G9" s="79">
        <f>F9+1</f>
        <v/>
      </c>
      <c r="H9" s="79">
        <f>G9+1</f>
        <v/>
      </c>
      <c r="I9" s="65" t="n"/>
      <c r="J9" s="80">
        <f>IF(MONTH(DATE($B$5,$E$5,ROW()-6))=$E$5,DATE($B$5,$E$5,ROW()-6),"")</f>
        <v/>
      </c>
      <c r="K9" s="77">
        <f>SUMIF(Income Details!$B$5:$B$20000,J9,Income Details!$E$5:$E$20000)</f>
        <v/>
      </c>
      <c r="L9" s="77">
        <f>SUMIF(Expense Details!$B$5:$B$20000,J9,Expense Details!$E$5:$E$20000)</f>
        <v/>
      </c>
      <c r="P9" s="78" t="inlineStr">
        <is>
          <t>China Construction Bank</t>
        </is>
      </c>
      <c r="Q9" s="77">
        <f>SUMIF(Income Details!$F$5:$F$20000,P9,Income Details!$E$5:$E$20000)</f>
        <v/>
      </c>
      <c r="R9" s="77">
        <f>SUMIF(Expense Details!$F$5:$F$20000,P9,Expense Details!$E$5:$E$20000)</f>
        <v/>
      </c>
    </row>
    <row r="10" ht="25" customFormat="1" customHeight="1" s="43">
      <c r="A10" s="43" t="n"/>
      <c r="B10" s="79">
        <f>H9+1</f>
        <v/>
      </c>
      <c r="C10" s="79">
        <f>B10+1</f>
        <v/>
      </c>
      <c r="D10" s="79">
        <f>C10+1</f>
        <v/>
      </c>
      <c r="E10" s="79">
        <f>D10+1</f>
        <v/>
      </c>
      <c r="F10" s="79">
        <f>E10+1</f>
        <v/>
      </c>
      <c r="G10" s="79">
        <f>F10+1</f>
        <v/>
      </c>
      <c r="H10" s="79">
        <f>G10+1</f>
        <v/>
      </c>
      <c r="I10" s="65" t="n"/>
      <c r="J10" s="80">
        <f>IF(MONTH(DATE($B$5,$E$5,ROW()-6))=$E$5,DATE($B$5,$E$5,ROW()-6),"")</f>
        <v/>
      </c>
      <c r="K10" s="77">
        <f>SUMIF(Income Details!$B$5:$B$20000,J10,Income Details!$E$5:$E$20000)</f>
        <v/>
      </c>
      <c r="L10" s="77">
        <f>SUMIF(Expense Details!$B$5:$B$20000,J10,Expense Details!$E$5:$E$20000)</f>
        <v/>
      </c>
      <c r="P10" s="78" t="inlineStr">
        <is>
          <t>Other Accounts</t>
        </is>
      </c>
      <c r="Q10" s="77">
        <f>SUMIF(Income Details!$F$5:$F$20000,P10,Income Details!$E$5:$E$20000)</f>
        <v/>
      </c>
      <c r="R10" s="77">
        <f>SUMIF(Expense Details!$F$5:$F$20000,P10,Expense Details!$E$5:$E$20000)</f>
        <v/>
      </c>
    </row>
    <row r="11" ht="25" customFormat="1" customHeight="1" s="43">
      <c r="A11" s="43" t="n"/>
      <c r="B11" s="79">
        <f>H10+1</f>
        <v/>
      </c>
      <c r="C11" s="79">
        <f>B11+1</f>
        <v/>
      </c>
      <c r="D11" s="79">
        <f>C11+1</f>
        <v/>
      </c>
      <c r="E11" s="79">
        <f>D11+1</f>
        <v/>
      </c>
      <c r="F11" s="79">
        <f>E11+1</f>
        <v/>
      </c>
      <c r="G11" s="79">
        <f>F11+1</f>
        <v/>
      </c>
      <c r="H11" s="79">
        <f>G11+1</f>
        <v/>
      </c>
      <c r="I11" s="65" t="n"/>
      <c r="J11" s="80">
        <f>IF(MONTH(DATE($B$5,$E$5,ROW()-6))=$E$5,DATE($B$5,$E$5,ROW()-6),"")</f>
        <v/>
      </c>
      <c r="K11" s="77">
        <f>SUMIF(Income Details!$B$5:$B$20000,J11,Income Details!$E$5:$E$20000)</f>
        <v/>
      </c>
      <c r="L11" s="77">
        <f>SUMIF(Expense Details!$B$5:$B$20000,J11,Expense Details!$E$5:$E$20000)</f>
        <v/>
      </c>
      <c r="P11" s="78" t="inlineStr">
        <is>
          <t>Total</t>
        </is>
      </c>
      <c r="Q11" s="77">
        <f>SUM(Q7:Q10)</f>
        <v/>
      </c>
      <c r="R11" s="77">
        <f>SUM(R7:R10)</f>
        <v/>
      </c>
    </row>
    <row r="12" ht="25" customFormat="1" customHeight="1" s="43">
      <c r="A12" s="43" t="n"/>
      <c r="B12" s="79">
        <f>H11+1</f>
        <v/>
      </c>
      <c r="C12" s="79">
        <f>B12+1</f>
        <v/>
      </c>
      <c r="D12" s="79">
        <f>C12+1</f>
        <v/>
      </c>
      <c r="E12" s="79">
        <f>D12+1</f>
        <v/>
      </c>
      <c r="F12" s="79">
        <f>E12+1</f>
        <v/>
      </c>
      <c r="G12" s="79">
        <f>F12+1</f>
        <v/>
      </c>
      <c r="H12" s="79">
        <f>G12+1</f>
        <v/>
      </c>
      <c r="I12" s="65" t="n"/>
      <c r="J12" s="80">
        <f>IF(MONTH(DATE($B$5,$E$5,ROW()-6))=$E$5,DATE($B$5,$E$5,ROW()-6),"")</f>
        <v/>
      </c>
      <c r="K12" s="77">
        <f>SUMIF(Income Details!$B$5:$B$20000,J12,Income Details!$E$5:$E$20000)</f>
        <v/>
      </c>
      <c r="L12" s="77">
        <f>SUMIF(Expense Details!$B$5:$B$20000,J12,Expense Details!$E$5:$E$20000)</f>
        <v/>
      </c>
    </row>
    <row r="13" ht="25" customFormat="1" customHeight="1" s="43">
      <c r="A13" s="43" t="n"/>
      <c r="B13" s="43" t="n"/>
      <c r="C13" s="81" t="n"/>
      <c r="D13" s="81" t="n"/>
      <c r="E13" s="81" t="n"/>
      <c r="F13" s="81" t="n"/>
      <c r="G13" s="81" t="n"/>
      <c r="H13" s="81" t="n"/>
      <c r="I13" s="43" t="n"/>
      <c r="J13" s="80">
        <f>IF(MONTH(DATE($B$5,$E$5,ROW()-6))=$E$5,DATE($B$5,$E$5,ROW()-6),"")</f>
        <v/>
      </c>
      <c r="K13" s="77">
        <f>SUMIF(Income Details!$B$5:$B$20000,J13,Income Details!$E$5:$E$20000)</f>
        <v/>
      </c>
      <c r="L13" s="77">
        <f>SUMIF(Expense Details!$B$5:$B$20000,J13,Expense Details!$E$5:$E$20000)</f>
        <v/>
      </c>
    </row>
    <row r="14" ht="25" customFormat="1" customHeight="1" s="43">
      <c r="A14" s="43" t="n"/>
      <c r="B14" s="48" t="n"/>
      <c r="C14" s="48" t="n"/>
      <c r="D14" s="48" t="n"/>
      <c r="E14" s="48" t="n"/>
      <c r="F14" s="48" t="n"/>
      <c r="G14" s="48" t="n"/>
      <c r="H14" s="48" t="n"/>
      <c r="I14" s="43" t="n"/>
      <c r="J14" s="80">
        <f>IF(MONTH(DATE($B$5,$E$5,ROW()-6))=$E$5,DATE($B$5,$E$5,ROW()-6),"")</f>
        <v/>
      </c>
      <c r="K14" s="77">
        <f>SUMIF(Income Details!$B$5:$B$20000,J14,Income Details!$E$5:$E$20000)</f>
        <v/>
      </c>
      <c r="L14" s="77">
        <f>SUMIF(Expense Details!$B$5:$B$20000,J14,Expense Details!$E$5:$E$20000)</f>
        <v/>
      </c>
      <c r="P14" s="70" t="inlineStr">
        <is>
          <t>Monthly Summary</t>
        </is>
      </c>
      <c r="Q14" s="71" t="n"/>
      <c r="R14" s="72" t="n"/>
    </row>
    <row r="15" ht="25" customHeight="1" s="82">
      <c r="B15" s="49" t="inlineStr">
        <is>
          <t>Opening Balance</t>
        </is>
      </c>
      <c r="C15" s="72" t="n"/>
      <c r="D15" s="83" t="n">
        <v>2580</v>
      </c>
      <c r="E15" s="69" t="n"/>
      <c r="F15" s="69" t="n"/>
      <c r="G15" s="69" t="n"/>
      <c r="H15" s="84" t="n"/>
      <c r="J15" s="80">
        <f>IF(MONTH(DATE($B$5,$E$5,ROW()-6))=$E$5,DATE($B$5,$E$5,ROW()-6),"")</f>
        <v/>
      </c>
      <c r="K15" s="77">
        <f>SUMIF(Income Details!$B$5:$B$20000,J15,Income Details!$E$5:$E$20000)</f>
        <v/>
      </c>
      <c r="L15" s="77">
        <f>SUMIF(Expense Details!$B$5:$B$20000,J15,Expense Details!$E$5:$E$20000)</f>
        <v/>
      </c>
      <c r="P15" s="73" t="inlineStr">
        <is>
          <t>Month</t>
        </is>
      </c>
      <c r="Q15" s="74" t="inlineStr">
        <is>
          <t>Income Amount</t>
        </is>
      </c>
      <c r="R15" s="74" t="inlineStr">
        <is>
          <t>Expense Amount</t>
        </is>
      </c>
    </row>
    <row r="16" ht="25" customHeight="1" s="82">
      <c r="B16" s="85" t="n"/>
      <c r="C16" s="86" t="n"/>
      <c r="D16" s="87" t="n"/>
      <c r="E16" s="88" t="n"/>
      <c r="F16" s="88" t="n"/>
      <c r="G16" s="88" t="n"/>
      <c r="H16" s="89" t="n"/>
      <c r="J16" s="80">
        <f>IF(MONTH(DATE($B$5,$E$5,ROW()-6))=$E$5,DATE($B$5,$E$5,ROW()-6),"")</f>
        <v/>
      </c>
      <c r="K16" s="77">
        <f>SUMIF(Income Details!$B$5:$B$20000,J16,Income Details!$E$5:$E$20000)</f>
        <v/>
      </c>
      <c r="L16" s="77">
        <f>SUMIF(Expense Details!$B$5:$B$20000,J16,Expense Details!$E$5:$E$20000)</f>
        <v/>
      </c>
      <c r="P16" s="78" t="inlineStr">
        <is>
          <t>Jan</t>
        </is>
      </c>
      <c r="Q16" s="77">
        <f>SUMPRODUCT((MONTH(Income Details!$B$5:$B$20000)=1)*(Income Details!$E$5:$E$20000))</f>
        <v/>
      </c>
      <c r="R16" s="77">
        <f>SUMPRODUCT((MONTH(Expense Details!$B$5:$B$20000)=1)*(Expense Details!$E$5:$E$20000))</f>
        <v/>
      </c>
    </row>
    <row r="17" ht="25" customHeight="1" s="82">
      <c r="B17" s="49" t="inlineStr">
        <is>
          <t>Income Amount</t>
        </is>
      </c>
      <c r="C17" s="72" t="n"/>
      <c r="D17" s="83">
        <f>SUM(Income Details!E:E)</f>
        <v/>
      </c>
      <c r="E17" s="69" t="n"/>
      <c r="F17" s="69" t="n"/>
      <c r="G17" s="69" t="n"/>
      <c r="H17" s="84" t="n"/>
      <c r="J17" s="80">
        <f>IF(MONTH(DATE($B$5,$E$5,ROW()-6))=$E$5,DATE($B$5,$E$5,ROW()-6),"")</f>
        <v/>
      </c>
      <c r="K17" s="77">
        <f>SUMIF(Income Details!$B$5:$B$20000,J17,Income Details!$E$5:$E$20000)</f>
        <v/>
      </c>
      <c r="L17" s="77">
        <f>SUMIF(Expense Details!$B$5:$B$20000,J17,Expense Details!$E$5:$E$20000)</f>
        <v/>
      </c>
      <c r="P17" s="78" t="inlineStr">
        <is>
          <t>Feb</t>
        </is>
      </c>
      <c r="Q17" s="77">
        <f>SUMPRODUCT((MONTH(Income Details!$B$5:$B$20000)=2)*(Income Details!$E$5:$E$20000))</f>
        <v/>
      </c>
      <c r="R17" s="77">
        <f>SUMPRODUCT((MONTH(Expense Details!$B$5:$B$20000)=2)*(Expense Details!$E$5:$E$20000))</f>
        <v/>
      </c>
    </row>
    <row r="18" ht="25" customHeight="1" s="82">
      <c r="B18" s="85" t="n"/>
      <c r="C18" s="86" t="n"/>
      <c r="D18" s="87" t="n"/>
      <c r="E18" s="88" t="n"/>
      <c r="F18" s="88" t="n"/>
      <c r="G18" s="88" t="n"/>
      <c r="H18" s="89" t="n"/>
      <c r="J18" s="80">
        <f>IF(MONTH(DATE($B$5,$E$5,ROW()-6))=$E$5,DATE($B$5,$E$5,ROW()-6),"")</f>
        <v/>
      </c>
      <c r="K18" s="77">
        <f>SUMIF(Income Details!$B$5:$B$20000,J18,Income Details!$E$5:$E$20000)</f>
        <v/>
      </c>
      <c r="L18" s="77">
        <f>SUMIF(Expense Details!$B$5:$B$20000,J18,Expense Details!$E$5:$E$20000)</f>
        <v/>
      </c>
      <c r="P18" s="78" t="inlineStr">
        <is>
          <t>Mar</t>
        </is>
      </c>
      <c r="Q18" s="77">
        <f>SUMPRODUCT((MONTH(Income Details!$B$5:$B$20000)=3)*(Income Details!$E$5:$E$20000))</f>
        <v/>
      </c>
      <c r="R18" s="77">
        <f>SUMPRODUCT((MONTH(Expense Details!$B$5:$B$20000)=3)*(Expense Details!$E$5:$E$20000))</f>
        <v/>
      </c>
    </row>
    <row r="19" ht="25" customHeight="1" s="82">
      <c r="B19" s="49" t="inlineStr">
        <is>
          <t>Expense Amount</t>
        </is>
      </c>
      <c r="C19" s="72" t="n"/>
      <c r="D19" s="83">
        <f>SUM(Expense Details!E:E)</f>
        <v/>
      </c>
      <c r="E19" s="69" t="n"/>
      <c r="F19" s="69" t="n"/>
      <c r="G19" s="69" t="n"/>
      <c r="H19" s="84" t="n"/>
      <c r="J19" s="80">
        <f>IF(MONTH(DATE($B$5,$E$5,ROW()-6))=$E$5,DATE($B$5,$E$5,ROW()-6),"")</f>
        <v/>
      </c>
      <c r="K19" s="77">
        <f>SUMIF(Income Details!$B$5:$B$20000,J19,Income Details!$E$5:$E$20000)</f>
        <v/>
      </c>
      <c r="L19" s="77">
        <f>SUMIF(Expense Details!$B$5:$B$20000,J19,Expense Details!$E$5:$E$20000)</f>
        <v/>
      </c>
      <c r="P19" s="78" t="inlineStr">
        <is>
          <t>Apr</t>
        </is>
      </c>
      <c r="Q19" s="77">
        <f>SUMPRODUCT((MONTH(Income Details!$B$5:$B$20000)=4)*(Income Details!$E$5:$E$20000))</f>
        <v/>
      </c>
      <c r="R19" s="77">
        <f>SUMPRODUCT((MONTH(Expense Details!$B$5:$B$20000)=4)*(Expense Details!$E$5:$E$20000))</f>
        <v/>
      </c>
    </row>
    <row r="20" ht="25" customHeight="1" s="82">
      <c r="B20" s="85" t="n"/>
      <c r="C20" s="86" t="n"/>
      <c r="D20" s="87" t="n"/>
      <c r="E20" s="88" t="n"/>
      <c r="F20" s="88" t="n"/>
      <c r="G20" s="88" t="n"/>
      <c r="H20" s="89" t="n"/>
      <c r="J20" s="80">
        <f>IF(MONTH(DATE($B$5,$E$5,ROW()-6))=$E$5,DATE($B$5,$E$5,ROW()-6),"")</f>
        <v/>
      </c>
      <c r="K20" s="77">
        <f>SUMIF(Income Details!$B$5:$B$20000,J20,Income Details!$E$5:$E$20000)</f>
        <v/>
      </c>
      <c r="L20" s="77">
        <f>SUMIF(Expense Details!$B$5:$B$20000,J20,Expense Details!$E$5:$E$20000)</f>
        <v/>
      </c>
      <c r="P20" s="78" t="inlineStr">
        <is>
          <t>May</t>
        </is>
      </c>
      <c r="Q20" s="77">
        <f>SUMPRODUCT((MONTH(Income Details!$B$5:$B$20000)=5)*(Income Details!$E$5:$E$20000))</f>
        <v/>
      </c>
      <c r="R20" s="77">
        <f>SUMPRODUCT((MONTH(Expense Details!$B$5:$B$20000)=5)*(Expense Details!$E$5:$E$20000))</f>
        <v/>
      </c>
    </row>
    <row r="21" ht="25" customHeight="1" s="82">
      <c r="B21" s="49" t="inlineStr">
        <is>
          <t>Ending Balance</t>
        </is>
      </c>
      <c r="C21" s="72" t="n"/>
      <c r="D21" s="83">
        <f>D15+D17-D19</f>
        <v/>
      </c>
      <c r="E21" s="69" t="n"/>
      <c r="F21" s="69" t="n"/>
      <c r="G21" s="69" t="n"/>
      <c r="H21" s="84" t="n"/>
      <c r="J21" s="80">
        <f>IF(MONTH(DATE($B$5,$E$5,ROW()-6))=$E$5,DATE($B$5,$E$5,ROW()-6),"")</f>
        <v/>
      </c>
      <c r="K21" s="77">
        <f>SUMIF(Income Details!$B$5:$B$20000,J21,Income Details!$E$5:$E$20000)</f>
        <v/>
      </c>
      <c r="L21" s="77">
        <f>SUMIF(Expense Details!$B$5:$B$20000,J21,Expense Details!$E$5:$E$20000)</f>
        <v/>
      </c>
      <c r="P21" s="78" t="inlineStr">
        <is>
          <t>Jun</t>
        </is>
      </c>
      <c r="Q21" s="77">
        <f>SUMPRODUCT((MONTH(Income Details!$B$5:$B$20000)=6)*(Income Details!$E$5:$E$20000))</f>
        <v/>
      </c>
      <c r="R21" s="77">
        <f>SUMPRODUCT((MONTH(Expense Details!$B$5:$B$20000)=6)*(Expense Details!$E$5:$E$20000))</f>
        <v/>
      </c>
    </row>
    <row r="22" ht="25" customHeight="1" s="82">
      <c r="B22" s="85" t="n"/>
      <c r="C22" s="86" t="n"/>
      <c r="D22" s="87" t="n"/>
      <c r="E22" s="88" t="n"/>
      <c r="F22" s="88" t="n"/>
      <c r="G22" s="88" t="n"/>
      <c r="H22" s="89" t="n"/>
      <c r="J22" s="80">
        <f>IF(MONTH(DATE($B$5,$E$5,ROW()-6))=$E$5,DATE($B$5,$E$5,ROW()-6),"")</f>
        <v/>
      </c>
      <c r="K22" s="77">
        <f>SUMIF(Income Details!$B$5:$B$20000,J22,Income Details!$E$5:$E$20000)</f>
        <v/>
      </c>
      <c r="L22" s="77">
        <f>SUMIF(Expense Details!$B$5:$B$20000,J22,Expense Details!$E$5:$E$20000)</f>
        <v/>
      </c>
      <c r="P22" s="78" t="inlineStr">
        <is>
          <t>Jul</t>
        </is>
      </c>
      <c r="Q22" s="77">
        <f>SUMPRODUCT((MONTH(Income Details!$B$5:$B$20000)=7)*(Income Details!$E$5:$E$20000))</f>
        <v/>
      </c>
      <c r="R22" s="77">
        <f>SUMPRODUCT((MONTH(Expense Details!$B$5:$B$20000)=7)*(Expense Details!$E$5:$E$20000))</f>
        <v/>
      </c>
    </row>
    <row r="23" ht="25" customHeight="1" s="82">
      <c r="B23" s="54" t="n"/>
      <c r="J23" s="80">
        <f>IF(MONTH(DATE($B$5,$E$5,ROW()-6))=$E$5,DATE($B$5,$E$5,ROW()-6),"")</f>
        <v/>
      </c>
      <c r="K23" s="77">
        <f>SUMIF(Income Details!$B$5:$B$20000,J23,Income Details!$E$5:$E$20000)</f>
        <v/>
      </c>
      <c r="L23" s="77">
        <f>SUMIF(Expense Details!$B$5:$B$20000,J23,Expense Details!$E$5:$E$20000)</f>
        <v/>
      </c>
      <c r="P23" s="78" t="inlineStr">
        <is>
          <t>Aug</t>
        </is>
      </c>
      <c r="Q23" s="77">
        <f>SUMPRODUCT((MONTH(Income Details!$B$5:$B$20000)=8)*(Income Details!$E$5:$E$20000))</f>
        <v/>
      </c>
      <c r="R23" s="77">
        <f>SUMPRODUCT((MONTH(Expense Details!$B$5:$B$20000)=8)*(Expense Details!$E$5:$E$20000))</f>
        <v/>
      </c>
    </row>
    <row r="24" ht="25" customHeight="1" s="82">
      <c r="B24" s="54" t="n"/>
      <c r="J24" s="80">
        <f>IF(MONTH(DATE($B$5,$E$5,ROW()-6))=$E$5,DATE($B$5,$E$5,ROW()-6),"")</f>
        <v/>
      </c>
      <c r="K24" s="77">
        <f>SUMIF(Income Details!$B$5:$B$20000,J24,Income Details!$E$5:$E$20000)</f>
        <v/>
      </c>
      <c r="L24" s="77">
        <f>SUMIF(Expense Details!$B$5:$B$20000,J24,Expense Details!$E$5:$E$20000)</f>
        <v/>
      </c>
      <c r="P24" s="78" t="inlineStr">
        <is>
          <t>Sep</t>
        </is>
      </c>
      <c r="Q24" s="77">
        <f>SUMPRODUCT((MONTH(Income Details!$B$5:$B$20000)=9)*(Income Details!$E$5:$E$20000))</f>
        <v/>
      </c>
      <c r="R24" s="77">
        <f>SUMPRODUCT((MONTH(Expense Details!$B$5:$B$20000)=9)*(Expense Details!$E$5:$E$20000))</f>
        <v/>
      </c>
    </row>
    <row r="25" ht="25" customHeight="1" s="82">
      <c r="B25" s="54" t="n"/>
      <c r="J25" s="80">
        <f>IF(MONTH(DATE($B$5,$E$5,ROW()-6))=$E$5,DATE($B$5,$E$5,ROW()-6),"")</f>
        <v/>
      </c>
      <c r="K25" s="77">
        <f>SUMIF(Income Details!$B$5:$B$20000,J25,Income Details!$E$5:$E$20000)</f>
        <v/>
      </c>
      <c r="L25" s="77">
        <f>SUMIF(Expense Details!$B$5:$B$20000,J25,Expense Details!$E$5:$E$20000)</f>
        <v/>
      </c>
      <c r="P25" s="78" t="inlineStr">
        <is>
          <t>Oct</t>
        </is>
      </c>
      <c r="Q25" s="77">
        <f>SUMPRODUCT((MONTH(Income Details!$B$5:$B$20000)=10)*(Income Details!$E$5:$E$20000))</f>
        <v/>
      </c>
      <c r="R25" s="77">
        <f>SUMPRODUCT((MONTH(Expense Details!$B$5:$B$20000)=10)*(Expense Details!$E$5:$E$20000))</f>
        <v/>
      </c>
    </row>
    <row r="26" ht="25" customHeight="1" s="82">
      <c r="B26" s="54" t="n"/>
      <c r="J26" s="80">
        <f>IF(MONTH(DATE($B$5,$E$5,ROW()-6))=$E$5,DATE($B$5,$E$5,ROW()-6),"")</f>
        <v/>
      </c>
      <c r="K26" s="77">
        <f>SUMIF(Income Details!$B$5:$B$20000,J26,Income Details!$E$5:$E$20000)</f>
        <v/>
      </c>
      <c r="L26" s="77">
        <f>SUMIF(Expense Details!$B$5:$B$20000,J26,Expense Details!$E$5:$E$20000)</f>
        <v/>
      </c>
      <c r="P26" s="78" t="inlineStr">
        <is>
          <t>Nov</t>
        </is>
      </c>
      <c r="Q26" s="77">
        <f>SUMPRODUCT((MONTH(Income Details!$B$5:$B$20000)=11)*(Income Details!$E$5:$E$20000))</f>
        <v/>
      </c>
      <c r="R26" s="77">
        <f>SUMPRODUCT((MONTH(Expense Details!$B$5:$B$20000)=11)*(Expense Details!$E$5:$E$20000))</f>
        <v/>
      </c>
    </row>
    <row r="27" ht="25" customHeight="1" s="82">
      <c r="B27" s="54" t="n"/>
      <c r="J27" s="80">
        <f>IF(MONTH(DATE($B$5,$E$5,ROW()-6))=$E$5,DATE($B$5,$E$5,ROW()-6),"")</f>
        <v/>
      </c>
      <c r="K27" s="77">
        <f>SUMIF(Income Details!$B$5:$B$20000,J27,Income Details!$E$5:$E$20000)</f>
        <v/>
      </c>
      <c r="L27" s="77">
        <f>SUMIF(Expense Details!$B$5:$B$20000,J27,Expense Details!$E$5:$E$20000)</f>
        <v/>
      </c>
      <c r="P27" s="78" t="inlineStr">
        <is>
          <t>Dec</t>
        </is>
      </c>
      <c r="Q27" s="77">
        <f>SUMPRODUCT((MONTH(Income Details!$B$5:$B$20000)=12)*(Income Details!$E$5:$E$20000))</f>
        <v/>
      </c>
      <c r="R27" s="77">
        <f>SUMPRODUCT((MONTH(Expense Details!$B$5:$B$20000)=12)*(Expense Details!$E$5:$E$20000))</f>
        <v/>
      </c>
    </row>
    <row r="28" ht="25" customHeight="1" s="82">
      <c r="B28" s="54" t="n"/>
      <c r="J28" s="80">
        <f>IF(MONTH(DATE($B$5,$E$5,ROW()-6))=$E$5,DATE($B$5,$E$5,ROW()-6),"")</f>
        <v/>
      </c>
      <c r="K28" s="77">
        <f>SUMIF(Income Details!$B$5:$B$20000,J28,Income Details!$E$5:$E$20000)</f>
        <v/>
      </c>
      <c r="L28" s="77">
        <f>SUMIF(Expense Details!$B$5:$B$20000,J28,Expense Details!$E$5:$E$20000)</f>
        <v/>
      </c>
      <c r="P28" s="78" t="inlineStr">
        <is>
          <t>Total</t>
        </is>
      </c>
      <c r="Q28" s="77">
        <f>SUM(Q16:Q27)</f>
        <v/>
      </c>
      <c r="R28" s="77">
        <f>SUM(R16:R27)</f>
        <v/>
      </c>
    </row>
    <row r="29" ht="25" customHeight="1" s="82">
      <c r="B29" s="54" t="n"/>
      <c r="J29" s="80">
        <f>IF(MONTH(DATE($B$5,$E$5,ROW()-6))=$E$5,DATE($B$5,$E$5,ROW()-6),"")</f>
        <v/>
      </c>
      <c r="K29" s="77">
        <f>SUMIF(Income Details!$B$5:$B$20000,J29,Income Details!$E$5:$E$20000)</f>
        <v/>
      </c>
      <c r="L29" s="77">
        <f>SUMIF(Expense Details!$B$5:$B$20000,J29,Expense Details!$E$5:$E$20000)</f>
        <v/>
      </c>
    </row>
    <row r="30" ht="25" customHeight="1" s="82">
      <c r="B30" s="54" t="n"/>
      <c r="J30" s="80">
        <f>IF(MONTH(DATE($B$5,$E$5,ROW()-6))=$E$5,DATE($B$5,$E$5,ROW()-6),"")</f>
        <v/>
      </c>
      <c r="K30" s="77">
        <f>SUMIF(Income Details!$B$5:$B$20000,J30,Income Details!$E$5:$E$20000)</f>
        <v/>
      </c>
      <c r="L30" s="77">
        <f>SUMIF(Expense Details!$B$5:$B$20000,J30,Expense Details!$E$5:$E$20000)</f>
        <v/>
      </c>
      <c r="P30" s="70" t="inlineStr">
        <is>
          <t>Project Summary</t>
        </is>
      </c>
      <c r="Q30" s="71" t="n"/>
      <c r="R30" s="72" t="n"/>
    </row>
    <row r="31" ht="25" customHeight="1" s="82">
      <c r="B31" s="54" t="n"/>
      <c r="J31" s="80">
        <f>IF(MONTH(DATE($B$5,$E$5,ROW()-6))=$E$5,DATE($B$5,$E$5,ROW()-6),"")</f>
        <v/>
      </c>
      <c r="K31" s="77">
        <f>SUMIF(Income Details!$B$5:$B$20000,J31,Income Details!$E$5:$E$20000)</f>
        <v/>
      </c>
      <c r="L31" s="77">
        <f>SUMIF(Expense Details!$B$5:$B$20000,J31,Expense Details!$E$5:$E$20000)</f>
        <v/>
      </c>
      <c r="P31" s="73" t="inlineStr">
        <is>
          <t>Project Name</t>
        </is>
      </c>
      <c r="Q31" s="74" t="inlineStr">
        <is>
          <t>Income Amount</t>
        </is>
      </c>
      <c r="R31" s="74" t="inlineStr">
        <is>
          <t>Expense Amount</t>
        </is>
      </c>
    </row>
    <row r="32" ht="25" customHeight="1" s="82">
      <c r="B32" s="54" t="n"/>
      <c r="J32" s="80">
        <f>IF(MONTH(DATE($B$5,$E$5,ROW()-6))=$E$5,DATE($B$5,$E$5,ROW()-6),"")</f>
        <v/>
      </c>
      <c r="K32" s="77">
        <f>SUMIF(Income Details!$B$5:$B$20000,J32,Income Details!$E$5:$E$20000)</f>
        <v/>
      </c>
      <c r="L32" s="77">
        <f>SUMIF(Expense Details!$B$5:$B$20000,J32,Expense Details!$E$5:$E$20000)</f>
        <v/>
      </c>
      <c r="P32" s="78" t="inlineStr">
        <is>
          <t>Project 1</t>
        </is>
      </c>
      <c r="Q32" s="77">
        <f>SUMIF(Income Details!$C$5:$C$20000,P32,Income Details!$E$5:$E$20000)</f>
        <v/>
      </c>
      <c r="R32" s="77">
        <f>SUMIF(Expense Details!$C$5:$C$20000,P32,Expense Details!$E$5:$E$20000)</f>
        <v/>
      </c>
    </row>
    <row r="33" ht="25" customHeight="1" s="82">
      <c r="B33" s="54" t="n"/>
      <c r="J33" s="80">
        <f>IF(MONTH(DATE($B$5,$E$5,ROW()-6))=$E$5,DATE($B$5,$E$5,ROW()-6),"")</f>
        <v/>
      </c>
      <c r="K33" s="77">
        <f>SUMIF(Income Details!$B$5:$B$20000,J33,Income Details!$E$5:$E$20000)</f>
        <v/>
      </c>
      <c r="L33" s="77">
        <f>SUMIF(Expense Details!$B$5:$B$20000,J33,Expense Details!$E$5:$E$20000)</f>
        <v/>
      </c>
      <c r="P33" s="78" t="inlineStr">
        <is>
          <t>Project 2</t>
        </is>
      </c>
      <c r="Q33" s="77">
        <f>SUMIF(Income Details!$C$5:$C$20000,P33,Income Details!$E$5:$E$20000)</f>
        <v/>
      </c>
      <c r="R33" s="77">
        <f>SUMIF(Expense Details!$C$5:$C$20000,P33,Expense Details!$E$5:$E$20000)</f>
        <v/>
      </c>
    </row>
    <row r="34" ht="25" customHeight="1" s="82">
      <c r="B34" s="54" t="n"/>
      <c r="J34" s="80">
        <f>IF(MONTH(DATE($B$5,$E$5,ROW()-6))=$E$5,DATE($B$5,$E$5,ROW()-6),"")</f>
        <v/>
      </c>
      <c r="K34" s="77">
        <f>SUMIF(Income Details!$B$5:$B$20000,J34,Income Details!$E$5:$E$20000)</f>
        <v/>
      </c>
      <c r="L34" s="77">
        <f>SUMIF(Expense Details!$B$5:$B$20000,J34,Expense Details!$E$5:$E$20000)</f>
        <v/>
      </c>
      <c r="P34" s="78" t="inlineStr">
        <is>
          <t>Project 3</t>
        </is>
      </c>
      <c r="Q34" s="77">
        <f>SUMIF(Income Details!$C$5:$C$20000,P34,Income Details!$E$5:$E$20000)</f>
        <v/>
      </c>
      <c r="R34" s="77">
        <f>SUMIF(Expense Details!$C$5:$C$20000,P34,Expense Details!$E$5:$E$20000)</f>
        <v/>
      </c>
    </row>
    <row r="35" ht="25" customHeight="1" s="82">
      <c r="B35" s="54" t="n"/>
      <c r="J35" s="80">
        <f>IF(MONTH(DATE($B$5,$E$5,ROW()-6))=$E$5,DATE($B$5,$E$5,ROW()-6),"")</f>
        <v/>
      </c>
      <c r="K35" s="77">
        <f>SUMIF(Income Details!$B$5:$B$20000,J35,Income Details!$E$5:$E$20000)</f>
        <v/>
      </c>
      <c r="L35" s="77">
        <f>SUMIF(Expense Details!$B$5:$B$20000,J35,Expense Details!$E$5:$E$20000)</f>
        <v/>
      </c>
      <c r="P35" s="78" t="inlineStr">
        <is>
          <t>Project 4</t>
        </is>
      </c>
      <c r="Q35" s="77">
        <f>SUMIF(Income Details!$C$5:$C$20000,P35,Income Details!$E$5:$E$20000)</f>
        <v/>
      </c>
      <c r="R35" s="77">
        <f>SUMIF(Expense Details!$C$5:$C$20000,P35,Expense Details!$E$5:$E$20000)</f>
        <v/>
      </c>
    </row>
    <row r="36" ht="25" customHeight="1" s="82">
      <c r="B36" s="54" t="n"/>
      <c r="J36" s="80">
        <f>IF(MONTH(DATE($B$5,$E$5,ROW()-6))=$E$5,DATE($B$5,$E$5,ROW()-6),"")</f>
        <v/>
      </c>
      <c r="K36" s="77">
        <f>SUMIF(Income Details!$B$5:$B$20000,J36,Income Details!$E$5:$E$20000)</f>
        <v/>
      </c>
      <c r="L36" s="77">
        <f>SUMIF(Expense Details!$B$5:$B$20000,J36,Expense Details!$E$5:$E$20000)</f>
        <v/>
      </c>
      <c r="P36" s="78" t="inlineStr">
        <is>
          <t>Project 5</t>
        </is>
      </c>
      <c r="Q36" s="77">
        <f>SUMIF(Income Details!$C$5:$C$20000,P36,Income Details!$E$5:$E$20000)</f>
        <v/>
      </c>
      <c r="R36" s="77">
        <f>SUMIF(Expense Details!$C$5:$C$20000,P36,Expense Details!$E$5:$E$20000)</f>
        <v/>
      </c>
    </row>
    <row r="37" ht="25" customHeight="1" s="82">
      <c r="B37" s="54" t="n"/>
      <c r="J37" s="80">
        <f>IF(MONTH(DATE($B$5,$E$5,ROW()-6))=$E$5,DATE($B$5,$E$5,ROW()-6),"")</f>
        <v/>
      </c>
      <c r="K37" s="77">
        <f>SUMIF(Income Details!$B$5:$B$20000,J37,Income Details!$E$5:$E$20000)</f>
        <v/>
      </c>
      <c r="L37" s="77">
        <f>SUMIF(Expense Details!$B$5:$B$20000,J37,Expense Details!$E$5:$E$20000)</f>
        <v/>
      </c>
      <c r="P37" s="78" t="inlineStr">
        <is>
          <t>Project 6</t>
        </is>
      </c>
      <c r="Q37" s="77">
        <f>SUMIF(Income Details!$C$5:$C$20000,P37,Income Details!$E$5:$E$20000)</f>
        <v/>
      </c>
      <c r="R37" s="77">
        <f>SUMIF(Expense Details!$C$5:$C$20000,P37,Expense Details!$E$5:$E$20000)</f>
        <v/>
      </c>
    </row>
    <row r="38" ht="25" customHeight="1" s="82">
      <c r="B38" s="54" t="n"/>
      <c r="J38" s="80" t="inlineStr">
        <is>
          <t>Total</t>
        </is>
      </c>
      <c r="K38" s="77">
        <f>SUM(K7:K37)</f>
        <v/>
      </c>
      <c r="L38" s="77">
        <f>SUM(L7:L37)</f>
        <v/>
      </c>
      <c r="P38" s="80" t="inlineStr">
        <is>
          <t>Total</t>
        </is>
      </c>
      <c r="Q38" s="77">
        <f>SUM(Q32:Q37)</f>
        <v/>
      </c>
      <c r="R38" s="77">
        <f>SUM(R32:R37)</f>
        <v/>
      </c>
    </row>
    <row r="39" ht="25" customHeight="1" s="82"/>
    <row r="40" ht="25" customHeight="1" s="82"/>
    <row r="41" ht="25" customHeight="1" s="82"/>
    <row r="42" ht="25" customHeight="1" s="82"/>
    <row r="43" ht="25" customHeight="1" s="82"/>
    <row r="44" ht="25" customHeight="1" s="82"/>
    <row r="45" ht="25" customHeight="1" s="82"/>
  </sheetData>
  <mergeCells count="30">
    <mergeCell ref="B19:C20"/>
    <mergeCell ref="B15:C16"/>
    <mergeCell ref="B24:H24"/>
    <mergeCell ref="B30:H30"/>
    <mergeCell ref="B33:H33"/>
    <mergeCell ref="D15:H16"/>
    <mergeCell ref="B36:H36"/>
    <mergeCell ref="B32:H32"/>
    <mergeCell ref="B26:H26"/>
    <mergeCell ref="B35:H35"/>
    <mergeCell ref="B25:H25"/>
    <mergeCell ref="D19:H20"/>
    <mergeCell ref="B2:X2"/>
    <mergeCell ref="B31:H31"/>
    <mergeCell ref="P30:R30"/>
    <mergeCell ref="B27:H27"/>
    <mergeCell ref="P5:R5"/>
    <mergeCell ref="P14:R14"/>
    <mergeCell ref="B21:C22"/>
    <mergeCell ref="B23:H23"/>
    <mergeCell ref="J5:L5"/>
    <mergeCell ref="D21:H22"/>
    <mergeCell ref="B17:C18"/>
    <mergeCell ref="B5:C5"/>
    <mergeCell ref="D17:H18"/>
    <mergeCell ref="B34:H34"/>
    <mergeCell ref="B38:H38"/>
    <mergeCell ref="B29:H29"/>
    <mergeCell ref="B37:H37"/>
    <mergeCell ref="B28:H28"/>
  </mergeCells>
  <conditionalFormatting sqref="B7:H12">
    <cfRule type="expression" priority="4" dxfId="0">
      <formula>COUNTIFS(#REF!,B7,#REF!,"日常")&gt;0</formula>
    </cfRule>
    <cfRule type="expression" priority="5" dxfId="1">
      <formula>COUNTIFS(#REF!,B7,#REF!,"一般")&gt;0</formula>
    </cfRule>
    <cfRule type="expression" priority="6" dxfId="2">
      <formula>COUNTIFS(#REF!,B7,#REF!,"重要")&gt;0</formula>
    </cfRule>
    <cfRule type="expression" priority="7" dxfId="3">
      <formula>MONTH(B7)&lt;&gt;$E$5</formula>
    </cfRule>
  </conditionalFormatting>
  <dataValidations count="2">
    <dataValidation sqref="B5:C5" showDropDown="0" showInputMessage="1" showErrorMessage="1" allowBlank="1" type="list">
      <formula1>"2020,2021,2022,2023,2024,2025,2026,2027,2028,2029,2030"</formula1>
    </dataValidation>
    <dataValidation sqref="E5" showDropDown="0" showInputMessage="1" showErrorMessage="1" allowBlank="1" type="list">
      <formula1>"1,2,3,4,5,6,7,8,9,10,11,12"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topLeftCell="A10" workbookViewId="0">
      <selection activeCell="D33" sqref="D33"/>
    </sheetView>
  </sheetViews>
  <sheetFormatPr baseColWidth="8" defaultColWidth="10.25" defaultRowHeight="25" customHeight="1"/>
  <cols>
    <col width="4.125" customWidth="1" style="27" min="1" max="1"/>
    <col width="15.375" customWidth="1" style="27" min="2" max="3"/>
    <col width="27.25" customWidth="1" style="27" min="4" max="4"/>
    <col width="12.75" customWidth="1" style="27" min="5" max="5"/>
    <col width="14.75" customWidth="1" style="27" min="6" max="6"/>
    <col width="14.125" customWidth="1" style="27" min="7" max="7"/>
    <col width="25.875" customWidth="1" style="27" min="8" max="8"/>
    <col width="12.75" customWidth="1" style="27" min="9" max="9"/>
    <col width="10.25" customWidth="1" style="27" min="10" max="16377"/>
    <col width="10.25" customWidth="1" style="27" min="16378" max="16384"/>
  </cols>
  <sheetData>
    <row r="1" ht="15" customHeight="1" s="82"/>
    <row r="2" ht="44" customHeight="1" s="82">
      <c r="B2" s="6" t="inlineStr">
        <is>
          <t>Income Register</t>
        </is>
      </c>
    </row>
    <row r="3" ht="12" customHeight="1" s="82"/>
    <row r="4" ht="30" customFormat="1" customHeight="1" s="2">
      <c r="A4" s="54" t="n"/>
      <c r="B4" s="90" t="inlineStr">
        <is>
          <t>Date</t>
        </is>
      </c>
      <c r="C4" s="9" t="inlineStr">
        <is>
          <t>Income Item</t>
        </is>
      </c>
      <c r="D4" s="9" t="inlineStr">
        <is>
          <t>Summary</t>
        </is>
      </c>
      <c r="E4" s="91" t="inlineStr">
        <is>
          <t>Amount</t>
        </is>
      </c>
      <c r="F4" s="91" t="inlineStr">
        <is>
          <t>Account</t>
        </is>
      </c>
      <c r="G4" s="11" t="inlineStr">
        <is>
          <t>Handler</t>
        </is>
      </c>
      <c r="H4" s="11" t="inlineStr">
        <is>
          <t>Counterparty</t>
        </is>
      </c>
      <c r="I4" s="18" t="inlineStr">
        <is>
          <t>Remarks</t>
        </is>
      </c>
      <c r="J4" s="54" t="n"/>
    </row>
    <row r="5" ht="26" customFormat="1" customHeight="1" s="2">
      <c r="A5" s="54" t="n"/>
      <c r="B5" s="92" t="n">
        <v>44197</v>
      </c>
      <c r="C5" s="92" t="inlineStr">
        <is>
          <t>Project 1</t>
        </is>
      </c>
      <c r="D5" s="92" t="n"/>
      <c r="E5" s="93" t="n">
        <v>140</v>
      </c>
      <c r="F5" s="93" t="inlineStr">
        <is>
          <t>Cash Account</t>
        </is>
      </c>
      <c r="G5" s="94" t="n"/>
      <c r="H5" s="95" t="n"/>
      <c r="I5" s="94" t="n"/>
      <c r="J5" s="54" t="n"/>
    </row>
    <row r="6" ht="26" customFormat="1" customHeight="1" s="2">
      <c r="A6" s="54" t="n"/>
      <c r="B6" s="96" t="n">
        <v>44229</v>
      </c>
      <c r="C6" s="96" t="inlineStr">
        <is>
          <t>Project 2</t>
        </is>
      </c>
      <c r="D6" s="92" t="n"/>
      <c r="E6" s="97" t="n">
        <v>150</v>
      </c>
      <c r="F6" s="97" t="inlineStr">
        <is>
          <t>Bank of China</t>
        </is>
      </c>
      <c r="G6" s="94" t="n"/>
      <c r="H6" s="95" t="n"/>
      <c r="I6" s="94" t="n"/>
      <c r="J6" s="54" t="n"/>
    </row>
    <row r="7" ht="26" customFormat="1" customHeight="1" s="2">
      <c r="A7" s="54" t="n"/>
      <c r="B7" s="96" t="n">
        <v>44260</v>
      </c>
      <c r="C7" s="96" t="inlineStr">
        <is>
          <t>Project 3</t>
        </is>
      </c>
      <c r="D7" s="92" t="n"/>
      <c r="E7" s="97" t="n">
        <v>60</v>
      </c>
      <c r="F7" s="97" t="inlineStr">
        <is>
          <t>China Construction Bank</t>
        </is>
      </c>
      <c r="G7" s="94" t="n"/>
      <c r="H7" s="95" t="n"/>
      <c r="I7" s="94" t="n"/>
      <c r="J7" s="54" t="n"/>
    </row>
    <row r="8" ht="26" customFormat="1" customHeight="1" s="2">
      <c r="A8" s="54" t="n"/>
      <c r="B8" s="96" t="n">
        <v>44292</v>
      </c>
      <c r="C8" s="96" t="inlineStr">
        <is>
          <t>Project 4</t>
        </is>
      </c>
      <c r="D8" s="92" t="n"/>
      <c r="E8" s="97" t="n">
        <v>270</v>
      </c>
      <c r="F8" s="97" t="inlineStr">
        <is>
          <t>Other Accounts</t>
        </is>
      </c>
      <c r="G8" s="94" t="n"/>
      <c r="H8" s="95" t="n"/>
      <c r="I8" s="94" t="n"/>
      <c r="J8" s="54" t="n"/>
    </row>
    <row r="9" ht="26" customFormat="1" customHeight="1" s="2">
      <c r="A9" s="54" t="n"/>
      <c r="B9" s="96" t="n">
        <v>44324</v>
      </c>
      <c r="C9" s="96" t="inlineStr">
        <is>
          <t>Project 5</t>
        </is>
      </c>
      <c r="D9" s="92" t="n"/>
      <c r="E9" s="97" t="n">
        <v>18</v>
      </c>
      <c r="F9" s="93" t="inlineStr">
        <is>
          <t>Cash Account</t>
        </is>
      </c>
      <c r="G9" s="94" t="n"/>
      <c r="H9" s="95" t="n"/>
      <c r="I9" s="94" t="n"/>
      <c r="J9" s="54" t="n"/>
    </row>
    <row r="10" ht="26" customFormat="1" customHeight="1" s="2">
      <c r="A10" s="54" t="n"/>
      <c r="B10" s="96" t="n">
        <v>44356</v>
      </c>
      <c r="C10" s="96" t="inlineStr">
        <is>
          <t>Project 6</t>
        </is>
      </c>
      <c r="D10" s="92" t="n"/>
      <c r="E10" s="97" t="n">
        <v>190</v>
      </c>
      <c r="F10" s="97" t="inlineStr">
        <is>
          <t>Bank of China</t>
        </is>
      </c>
      <c r="G10" s="94" t="n"/>
      <c r="H10" s="95" t="n"/>
      <c r="I10" s="94" t="n"/>
      <c r="J10" s="54" t="n"/>
    </row>
    <row r="11" ht="26" customFormat="1" customHeight="1" s="2">
      <c r="A11" s="54" t="n"/>
      <c r="B11" s="96" t="n">
        <v>44388</v>
      </c>
      <c r="C11" s="96" t="inlineStr">
        <is>
          <t>Project 6</t>
        </is>
      </c>
      <c r="D11" s="92" t="n"/>
      <c r="E11" s="97" t="n">
        <v>200</v>
      </c>
      <c r="F11" s="97" t="inlineStr">
        <is>
          <t>China Construction Bank</t>
        </is>
      </c>
      <c r="G11" s="94" t="n"/>
      <c r="H11" s="95" t="n"/>
      <c r="I11" s="94" t="n"/>
      <c r="J11" s="54" t="n"/>
    </row>
    <row r="12" ht="26" customFormat="1" customHeight="1" s="2">
      <c r="A12" s="54" t="n"/>
      <c r="B12" s="96" t="n">
        <v>44420</v>
      </c>
      <c r="C12" s="96" t="inlineStr">
        <is>
          <t>Project 5</t>
        </is>
      </c>
      <c r="D12" s="92" t="n"/>
      <c r="E12" s="97" t="n">
        <v>310</v>
      </c>
      <c r="F12" s="97" t="inlineStr">
        <is>
          <t>Other Accounts</t>
        </is>
      </c>
      <c r="G12" s="94" t="n"/>
      <c r="H12" s="95" t="n"/>
      <c r="I12" s="94" t="n"/>
      <c r="J12" s="54" t="n"/>
    </row>
    <row r="13" ht="26" customFormat="1" customHeight="1" s="2">
      <c r="A13" s="54" t="n"/>
      <c r="B13" s="96" t="n">
        <v>44452</v>
      </c>
      <c r="C13" s="96" t="inlineStr">
        <is>
          <t>Project 4</t>
        </is>
      </c>
      <c r="D13" s="92" t="n"/>
      <c r="E13" s="97" t="n">
        <v>120</v>
      </c>
      <c r="F13" s="93" t="inlineStr">
        <is>
          <t>Cash Account</t>
        </is>
      </c>
      <c r="G13" s="94" t="n"/>
      <c r="H13" s="95" t="n"/>
      <c r="I13" s="94" t="n"/>
      <c r="J13" s="54" t="n"/>
    </row>
    <row r="14" ht="26" customFormat="1" customHeight="1" s="2">
      <c r="A14" s="54" t="n"/>
      <c r="B14" s="96" t="n">
        <v>44484</v>
      </c>
      <c r="C14" s="96" t="inlineStr">
        <is>
          <t>Project 3</t>
        </is>
      </c>
      <c r="D14" s="92" t="n"/>
      <c r="E14" s="97" t="n">
        <v>130</v>
      </c>
      <c r="F14" s="97" t="inlineStr">
        <is>
          <t>Bank of China</t>
        </is>
      </c>
      <c r="G14" s="94" t="n"/>
      <c r="H14" s="95" t="n"/>
      <c r="I14" s="94" t="n"/>
      <c r="J14" s="54" t="n"/>
    </row>
    <row r="15" ht="26" customFormat="1" customHeight="1" s="2">
      <c r="A15" s="54" t="n"/>
      <c r="B15" s="96" t="n">
        <v>44516</v>
      </c>
      <c r="C15" s="96" t="inlineStr">
        <is>
          <t>Project 2</t>
        </is>
      </c>
      <c r="D15" s="92" t="n"/>
      <c r="E15" s="97" t="n">
        <v>170</v>
      </c>
      <c r="F15" s="97" t="inlineStr">
        <is>
          <t>China Construction Bank</t>
        </is>
      </c>
      <c r="G15" s="94" t="n"/>
      <c r="H15" s="95" t="n"/>
      <c r="I15" s="94" t="n"/>
      <c r="J15" s="54" t="n"/>
    </row>
    <row r="16" ht="26" customFormat="1" customHeight="1" s="2">
      <c r="A16" s="54" t="n"/>
      <c r="B16" s="96" t="n">
        <v>44548</v>
      </c>
      <c r="C16" s="96" t="inlineStr">
        <is>
          <t>Project 1</t>
        </is>
      </c>
      <c r="D16" s="92" t="n"/>
      <c r="E16" s="97" t="n">
        <v>180</v>
      </c>
      <c r="F16" s="97" t="inlineStr">
        <is>
          <t>Other Accounts</t>
        </is>
      </c>
      <c r="G16" s="94" t="n"/>
      <c r="H16" s="95" t="n"/>
      <c r="I16" s="94" t="n"/>
      <c r="J16" s="54" t="n"/>
    </row>
    <row r="17" ht="26" customFormat="1" customHeight="1" s="2">
      <c r="A17" s="54" t="n"/>
      <c r="B17" s="96" t="n">
        <v>44317</v>
      </c>
      <c r="C17" s="92" t="inlineStr">
        <is>
          <t>Project 1</t>
        </is>
      </c>
      <c r="D17" s="92" t="n"/>
      <c r="E17" s="97" t="n">
        <v>9</v>
      </c>
      <c r="F17" s="93" t="inlineStr">
        <is>
          <t>Cash Account</t>
        </is>
      </c>
      <c r="G17" s="94" t="n"/>
      <c r="H17" s="95" t="n"/>
      <c r="I17" s="94" t="n"/>
      <c r="J17" s="54" t="n"/>
    </row>
    <row r="18" ht="26" customFormat="1" customHeight="1" s="2">
      <c r="A18" s="54" t="n"/>
      <c r="B18" s="96" t="n">
        <v>44318</v>
      </c>
      <c r="C18" s="96" t="inlineStr">
        <is>
          <t>Project 2</t>
        </is>
      </c>
      <c r="D18" s="92" t="n"/>
      <c r="E18" s="97" t="n">
        <v>10</v>
      </c>
      <c r="F18" s="97" t="inlineStr">
        <is>
          <t>Bank of China</t>
        </is>
      </c>
      <c r="G18" s="94" t="n"/>
      <c r="H18" s="95" t="n"/>
      <c r="I18" s="94" t="n"/>
      <c r="J18" s="54" t="n"/>
    </row>
    <row r="19" ht="26" customFormat="1" customHeight="1" s="2">
      <c r="A19" s="54" t="n"/>
      <c r="B19" s="96" t="n">
        <v>44319</v>
      </c>
      <c r="C19" s="96" t="inlineStr">
        <is>
          <t>Project 3</t>
        </is>
      </c>
      <c r="D19" s="92" t="n"/>
      <c r="E19" s="97" t="n">
        <v>21</v>
      </c>
      <c r="F19" s="97" t="inlineStr">
        <is>
          <t>China Construction Bank</t>
        </is>
      </c>
      <c r="G19" s="94" t="n"/>
      <c r="H19" s="95" t="n"/>
      <c r="I19" s="94" t="n"/>
      <c r="J19" s="54" t="n"/>
    </row>
    <row r="20" ht="26" customFormat="1" customHeight="1" s="2">
      <c r="A20" s="54" t="n"/>
      <c r="B20" s="96" t="n">
        <v>44320</v>
      </c>
      <c r="C20" s="96" t="inlineStr">
        <is>
          <t>Project 4</t>
        </is>
      </c>
      <c r="D20" s="92" t="n"/>
      <c r="E20" s="97" t="n">
        <v>12</v>
      </c>
      <c r="F20" s="97" t="inlineStr">
        <is>
          <t>Other Accounts</t>
        </is>
      </c>
      <c r="G20" s="94" t="n"/>
      <c r="H20" s="95" t="n"/>
      <c r="I20" s="94" t="n"/>
      <c r="J20" s="54" t="n"/>
    </row>
    <row r="21" ht="26" customFormat="1" customHeight="1" s="2">
      <c r="A21" s="54" t="n"/>
      <c r="B21" s="96" t="n">
        <v>44321</v>
      </c>
      <c r="C21" s="96" t="inlineStr">
        <is>
          <t>Project 5</t>
        </is>
      </c>
      <c r="D21" s="92" t="n"/>
      <c r="E21" s="97" t="n">
        <v>11</v>
      </c>
      <c r="F21" s="93" t="inlineStr">
        <is>
          <t>Cash Account</t>
        </is>
      </c>
      <c r="G21" s="94" t="n"/>
      <c r="H21" s="95" t="n"/>
      <c r="I21" s="94" t="n"/>
      <c r="J21" s="54" t="n"/>
    </row>
    <row r="22" ht="26" customFormat="1" customHeight="1" s="2">
      <c r="A22" s="54" t="n"/>
      <c r="B22" s="96" t="n">
        <v>44322</v>
      </c>
      <c r="C22" s="96" t="inlineStr">
        <is>
          <t>Project 6</t>
        </is>
      </c>
      <c r="D22" s="92" t="n"/>
      <c r="E22" s="97" t="n">
        <v>20</v>
      </c>
      <c r="F22" s="97" t="inlineStr">
        <is>
          <t>Bank of China</t>
        </is>
      </c>
      <c r="G22" s="94" t="n"/>
      <c r="H22" s="95" t="n"/>
      <c r="I22" s="94" t="n"/>
      <c r="J22" s="54" t="n"/>
    </row>
    <row r="23" ht="26" customFormat="1" customHeight="1" s="2">
      <c r="A23" s="54" t="n"/>
      <c r="B23" s="96" t="n">
        <v>44323</v>
      </c>
      <c r="C23" s="96" t="inlineStr">
        <is>
          <t>Project 6</t>
        </is>
      </c>
      <c r="D23" s="92" t="n"/>
      <c r="E23" s="97" t="n">
        <v>30</v>
      </c>
      <c r="F23" s="97" t="inlineStr">
        <is>
          <t>China Construction Bank</t>
        </is>
      </c>
      <c r="G23" s="94" t="n"/>
      <c r="H23" s="95" t="n"/>
      <c r="I23" s="94" t="n"/>
      <c r="J23" s="54" t="n"/>
    </row>
    <row r="24" ht="26" customFormat="1" customHeight="1" s="2">
      <c r="A24" s="54" t="n"/>
      <c r="B24" s="96" t="n">
        <v>44324</v>
      </c>
      <c r="C24" s="92" t="inlineStr">
        <is>
          <t>Project 1</t>
        </is>
      </c>
      <c r="D24" s="92" t="n"/>
      <c r="E24" s="97" t="n">
        <v>12</v>
      </c>
      <c r="F24" s="97" t="inlineStr">
        <is>
          <t>Other Accounts</t>
        </is>
      </c>
      <c r="G24" s="94" t="n"/>
      <c r="H24" s="95" t="n"/>
      <c r="I24" s="94" t="n"/>
      <c r="J24" s="54" t="n"/>
    </row>
    <row r="25" ht="26" customFormat="1" customHeight="1" s="2">
      <c r="A25" s="54" t="n"/>
      <c r="B25" s="96" t="n">
        <v>44325</v>
      </c>
      <c r="C25" s="96" t="inlineStr">
        <is>
          <t>Project 2</t>
        </is>
      </c>
      <c r="D25" s="92" t="n"/>
      <c r="E25" s="97" t="n">
        <v>13</v>
      </c>
      <c r="F25" s="93" t="inlineStr">
        <is>
          <t>Cash Account</t>
        </is>
      </c>
      <c r="G25" s="94" t="n"/>
      <c r="H25" s="95" t="n"/>
      <c r="I25" s="94" t="n"/>
      <c r="J25" s="54" t="n"/>
    </row>
    <row r="26" ht="26" customFormat="1" customHeight="1" s="2">
      <c r="A26" s="54" t="n"/>
      <c r="B26" s="96" t="n">
        <v>44326</v>
      </c>
      <c r="C26" s="96" t="inlineStr">
        <is>
          <t>Project 3</t>
        </is>
      </c>
      <c r="D26" s="92" t="n"/>
      <c r="E26" s="97" t="n">
        <v>7</v>
      </c>
      <c r="F26" s="97" t="inlineStr">
        <is>
          <t>Bank of China</t>
        </is>
      </c>
      <c r="G26" s="94" t="n"/>
      <c r="H26" s="95" t="n"/>
      <c r="I26" s="94" t="n"/>
      <c r="J26" s="54" t="n"/>
    </row>
    <row r="27" s="82">
      <c r="B27" s="96" t="n">
        <v>44327</v>
      </c>
      <c r="C27" s="96" t="inlineStr">
        <is>
          <t>Project 4</t>
        </is>
      </c>
      <c r="D27" s="92" t="n"/>
      <c r="E27" s="93" t="n">
        <v>14</v>
      </c>
      <c r="F27" s="97" t="inlineStr">
        <is>
          <t>China Construction Bank</t>
        </is>
      </c>
      <c r="G27" s="94" t="n"/>
      <c r="H27" s="95" t="n"/>
      <c r="I27" s="94" t="n"/>
    </row>
    <row r="28" s="82">
      <c r="B28" s="96" t="n">
        <v>44328</v>
      </c>
      <c r="C28" s="96" t="inlineStr">
        <is>
          <t>Project 5</t>
        </is>
      </c>
      <c r="D28" s="92" t="n"/>
      <c r="E28" s="97" t="n">
        <v>15</v>
      </c>
      <c r="F28" s="97" t="inlineStr">
        <is>
          <t>Other Accounts</t>
        </is>
      </c>
      <c r="G28" s="94" t="n"/>
      <c r="H28" s="95" t="n"/>
      <c r="I28" s="94" t="n"/>
    </row>
    <row r="29" s="82">
      <c r="B29" s="96" t="n">
        <v>44329</v>
      </c>
      <c r="C29" s="96" t="inlineStr">
        <is>
          <t>Project 6</t>
        </is>
      </c>
      <c r="D29" s="92" t="n"/>
      <c r="E29" s="97" t="n">
        <v>25</v>
      </c>
      <c r="F29" s="93" t="inlineStr">
        <is>
          <t>Cash Account</t>
        </is>
      </c>
      <c r="G29" s="94" t="n"/>
      <c r="H29" s="95" t="n"/>
      <c r="I29" s="94" t="n"/>
    </row>
    <row r="30" s="82">
      <c r="B30" s="96" t="n">
        <v>44330</v>
      </c>
      <c r="C30" s="96" t="inlineStr">
        <is>
          <t>Project 6</t>
        </is>
      </c>
      <c r="D30" s="92" t="n"/>
      <c r="E30" s="97" t="n">
        <v>27</v>
      </c>
      <c r="F30" s="97" t="inlineStr">
        <is>
          <t>Bank of China</t>
        </is>
      </c>
      <c r="G30" s="94" t="n"/>
      <c r="H30" s="95" t="n"/>
      <c r="I30" s="94" t="n"/>
    </row>
    <row r="31" s="82">
      <c r="B31" s="96" t="n">
        <v>44331</v>
      </c>
      <c r="C31" s="96" t="inlineStr">
        <is>
          <t>Project 5</t>
        </is>
      </c>
      <c r="D31" s="92" t="n"/>
      <c r="E31" s="97" t="n">
        <v>18</v>
      </c>
      <c r="F31" s="97" t="inlineStr">
        <is>
          <t>China Construction Bank</t>
        </is>
      </c>
      <c r="G31" s="94" t="n"/>
      <c r="H31" s="95" t="n"/>
      <c r="I31" s="94" t="n"/>
    </row>
    <row r="32" s="82">
      <c r="B32" s="96" t="n">
        <v>44332</v>
      </c>
      <c r="C32" s="96" t="inlineStr">
        <is>
          <t>Project 4</t>
        </is>
      </c>
      <c r="D32" s="92" t="n"/>
      <c r="E32" s="97" t="n">
        <v>19</v>
      </c>
      <c r="F32" s="97" t="inlineStr">
        <is>
          <t>Other Accounts</t>
        </is>
      </c>
      <c r="G32" s="94" t="n"/>
      <c r="H32" s="95" t="n"/>
      <c r="I32" s="94" t="n"/>
    </row>
    <row r="33" s="82">
      <c r="B33" s="96" t="n">
        <v>44333</v>
      </c>
      <c r="C33" s="96" t="inlineStr">
        <is>
          <t>Project 3</t>
        </is>
      </c>
      <c r="D33" s="92" t="n"/>
      <c r="E33" s="97" t="n">
        <v>20</v>
      </c>
      <c r="F33" s="93" t="inlineStr">
        <is>
          <t>Cash Account</t>
        </is>
      </c>
      <c r="G33" s="94" t="n"/>
      <c r="H33" s="95" t="n"/>
      <c r="I33" s="94" t="n"/>
    </row>
    <row r="34" s="82">
      <c r="B34" s="96" t="n">
        <v>44334</v>
      </c>
      <c r="C34" s="96" t="inlineStr">
        <is>
          <t>Project 2</t>
        </is>
      </c>
      <c r="D34" s="92" t="n"/>
      <c r="E34" s="97" t="n">
        <v>31</v>
      </c>
      <c r="F34" s="97" t="inlineStr">
        <is>
          <t>Bank of China</t>
        </is>
      </c>
      <c r="G34" s="94" t="n"/>
      <c r="H34" s="95" t="n"/>
      <c r="I34" s="94" t="n"/>
    </row>
    <row r="35" s="82">
      <c r="B35" s="96" t="n">
        <v>44335</v>
      </c>
      <c r="C35" s="96" t="inlineStr">
        <is>
          <t>Project 1</t>
        </is>
      </c>
      <c r="D35" s="92" t="n"/>
      <c r="E35" s="97" t="n">
        <v>12</v>
      </c>
      <c r="F35" s="97" t="inlineStr">
        <is>
          <t>China Construction Bank</t>
        </is>
      </c>
      <c r="G35" s="94" t="n"/>
      <c r="H35" s="95" t="n"/>
      <c r="I35" s="94" t="n"/>
    </row>
    <row r="36" s="82">
      <c r="B36" s="96" t="n">
        <v>44336</v>
      </c>
      <c r="C36" s="92" t="inlineStr">
        <is>
          <t>Project 1</t>
        </is>
      </c>
      <c r="D36" s="92" t="n"/>
      <c r="E36" s="97" t="n">
        <v>13</v>
      </c>
      <c r="F36" s="97" t="inlineStr">
        <is>
          <t>Other Accounts</t>
        </is>
      </c>
      <c r="G36" s="94" t="n"/>
      <c r="H36" s="95" t="n"/>
      <c r="I36" s="94" t="n"/>
    </row>
    <row r="37" s="82">
      <c r="B37" s="96" t="n">
        <v>44337</v>
      </c>
      <c r="C37" s="96" t="inlineStr">
        <is>
          <t>Project 2</t>
        </is>
      </c>
      <c r="D37" s="92" t="n"/>
      <c r="E37" s="97" t="n">
        <v>17</v>
      </c>
      <c r="F37" s="93" t="inlineStr">
        <is>
          <t>Cash Account</t>
        </is>
      </c>
      <c r="G37" s="94" t="n"/>
      <c r="H37" s="95" t="n"/>
      <c r="I37" s="94" t="n"/>
    </row>
    <row r="38" s="82">
      <c r="B38" s="96" t="n">
        <v>44338</v>
      </c>
      <c r="C38" s="96" t="inlineStr">
        <is>
          <t>Project 3</t>
        </is>
      </c>
      <c r="D38" s="92" t="n"/>
      <c r="E38" s="97" t="n">
        <v>18</v>
      </c>
      <c r="F38" s="97" t="inlineStr">
        <is>
          <t>Bank of China</t>
        </is>
      </c>
      <c r="G38" s="94" t="n"/>
      <c r="H38" s="95" t="n"/>
      <c r="I38" s="94" t="n"/>
    </row>
    <row r="39" s="82">
      <c r="B39" s="96" t="n">
        <v>44339</v>
      </c>
      <c r="C39" s="96" t="inlineStr">
        <is>
          <t>Project 4</t>
        </is>
      </c>
      <c r="D39" s="92" t="n"/>
      <c r="E39" s="97" t="n">
        <v>9</v>
      </c>
      <c r="F39" s="97" t="inlineStr">
        <is>
          <t>China Construction Bank</t>
        </is>
      </c>
      <c r="G39" s="94" t="n"/>
      <c r="H39" s="95" t="n"/>
      <c r="I39" s="94" t="n"/>
    </row>
    <row r="40" s="82">
      <c r="B40" s="96" t="n">
        <v>44340</v>
      </c>
      <c r="C40" s="96" t="inlineStr">
        <is>
          <t>Project 5</t>
        </is>
      </c>
      <c r="D40" s="92" t="n"/>
      <c r="E40" s="97" t="n">
        <v>10</v>
      </c>
      <c r="F40" s="97" t="inlineStr">
        <is>
          <t>Other Accounts</t>
        </is>
      </c>
      <c r="G40" s="94" t="n"/>
      <c r="H40" s="95" t="n"/>
      <c r="I40" s="94" t="n"/>
    </row>
    <row r="41" s="82">
      <c r="B41" s="96" t="n">
        <v>44341</v>
      </c>
      <c r="C41" s="96" t="inlineStr">
        <is>
          <t>Project 6</t>
        </is>
      </c>
      <c r="D41" s="92" t="n"/>
      <c r="E41" s="97" t="n">
        <v>21</v>
      </c>
      <c r="F41" s="93" t="inlineStr">
        <is>
          <t>Cash Account</t>
        </is>
      </c>
      <c r="G41" s="94" t="n"/>
      <c r="H41" s="95" t="n"/>
      <c r="I41" s="94" t="n"/>
    </row>
    <row r="42" s="82">
      <c r="B42" s="96" t="n">
        <v>44342</v>
      </c>
      <c r="C42" s="96" t="inlineStr">
        <is>
          <t>Project 4</t>
        </is>
      </c>
      <c r="D42" s="92" t="n"/>
      <c r="E42" s="97" t="n">
        <v>12</v>
      </c>
      <c r="F42" s="97" t="inlineStr">
        <is>
          <t>Bank of China</t>
        </is>
      </c>
      <c r="G42" s="94" t="n"/>
      <c r="H42" s="95" t="n"/>
      <c r="I42" s="94" t="n"/>
    </row>
    <row r="43" s="82">
      <c r="B43" s="96" t="n">
        <v>44343</v>
      </c>
      <c r="C43" s="96" t="inlineStr">
        <is>
          <t>Project 3</t>
        </is>
      </c>
      <c r="D43" s="92" t="n"/>
      <c r="E43" s="97" t="n">
        <v>11</v>
      </c>
      <c r="F43" s="97" t="inlineStr">
        <is>
          <t>China Construction Bank</t>
        </is>
      </c>
      <c r="G43" s="94" t="n"/>
      <c r="H43" s="95" t="n"/>
      <c r="I43" s="94" t="n"/>
    </row>
    <row r="44" s="82">
      <c r="B44" s="96" t="n">
        <v>44344</v>
      </c>
      <c r="C44" s="96" t="inlineStr">
        <is>
          <t>Project 2</t>
        </is>
      </c>
      <c r="D44" s="92" t="n"/>
      <c r="E44" s="97" t="n">
        <v>20</v>
      </c>
      <c r="F44" s="97" t="inlineStr">
        <is>
          <t>Other Accounts</t>
        </is>
      </c>
      <c r="G44" s="94" t="n"/>
      <c r="H44" s="95" t="n"/>
      <c r="I44" s="94" t="n"/>
    </row>
    <row r="45" s="82">
      <c r="B45" s="96" t="n">
        <v>44345</v>
      </c>
      <c r="C45" s="96" t="inlineStr">
        <is>
          <t>Project 1</t>
        </is>
      </c>
      <c r="D45" s="92" t="n"/>
      <c r="E45" s="97" t="n">
        <v>10</v>
      </c>
      <c r="F45" s="93" t="inlineStr">
        <is>
          <t>Cash Account</t>
        </is>
      </c>
      <c r="G45" s="94" t="n"/>
      <c r="H45" s="95" t="n"/>
      <c r="I45" s="94" t="n"/>
    </row>
    <row r="46" s="82">
      <c r="B46" s="96" t="n">
        <v>44346</v>
      </c>
      <c r="C46" s="92" t="inlineStr">
        <is>
          <t>Project 1</t>
        </is>
      </c>
      <c r="D46" s="92" t="n"/>
      <c r="E46" s="97" t="n">
        <v>21</v>
      </c>
      <c r="F46" s="97" t="inlineStr">
        <is>
          <t>Bank of China</t>
        </is>
      </c>
      <c r="G46" s="94" t="n"/>
      <c r="H46" s="95" t="n"/>
      <c r="I46" s="94" t="n"/>
    </row>
    <row r="47" s="82">
      <c r="B47" s="96" t="n">
        <v>44347</v>
      </c>
      <c r="C47" s="96" t="inlineStr">
        <is>
          <t>Project 3</t>
        </is>
      </c>
      <c r="D47" s="92" t="n"/>
      <c r="E47" s="97" t="n">
        <v>12</v>
      </c>
      <c r="F47" s="97" t="inlineStr">
        <is>
          <t>China Construction Bank</t>
        </is>
      </c>
      <c r="G47" s="94" t="n"/>
      <c r="H47" s="95" t="n"/>
      <c r="I47" s="94" t="n"/>
    </row>
  </sheetData>
  <mergeCells count="1">
    <mergeCell ref="B2:I2"/>
  </mergeCells>
  <dataValidations count="2">
    <dataValidation sqref="C5:C16 C17:C22 C23 C24:C35 C36:C41 C42:C45 C46 C47 C48:C1048576" showDropDown="0" showInputMessage="1" showErrorMessage="1" allowBlank="1" type="list">
      <formula1>收入支出看板!$P$32:$P$37</formula1>
    </dataValidation>
    <dataValidation sqref="F5:F47 F48:F1048576" showDropDown="0" showInputMessage="1" showErrorMessage="1" allowBlank="1" type="list">
      <formula1>收入支出看板!$P$7:$P$10</formula1>
    </dataValidation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FD47"/>
  <sheetViews>
    <sheetView showGridLines="0" topLeftCell="A7" workbookViewId="0">
      <selection activeCell="H27" sqref="H27"/>
    </sheetView>
  </sheetViews>
  <sheetFormatPr baseColWidth="8" defaultColWidth="10.25" defaultRowHeight="25" customHeight="1"/>
  <cols>
    <col width="4.125" customWidth="1" style="27" min="1" max="1"/>
    <col width="15.375" customWidth="1" style="27" min="2" max="3"/>
    <col width="27.25" customWidth="1" style="27" min="4" max="4"/>
    <col width="12.75" customWidth="1" style="27" min="5" max="5"/>
    <col width="14.75" customWidth="1" style="27" min="6" max="6"/>
    <col width="15.625" customWidth="1" style="27" min="7" max="7"/>
    <col width="25.875" customWidth="1" style="27" min="8" max="8"/>
    <col width="12.75" customWidth="1" style="27" min="9" max="9"/>
    <col width="10.25" customWidth="1" style="27" min="10" max="16377"/>
    <col width="10.25" customWidth="1" style="27" min="16378" max="16384"/>
  </cols>
  <sheetData>
    <row r="1" ht="15" customFormat="1" customHeight="1" s="25">
      <c r="A1" s="27" t="n"/>
      <c r="B1" s="27" t="n"/>
      <c r="C1" s="27" t="n"/>
      <c r="D1" s="27" t="n"/>
      <c r="E1" s="27" t="n"/>
      <c r="F1" s="27" t="n"/>
      <c r="G1" s="27" t="n"/>
      <c r="H1" s="27" t="n"/>
      <c r="I1" s="27" t="n"/>
      <c r="XEW1" s="27" t="n"/>
      <c r="XEX1" s="27" t="n"/>
      <c r="XEY1" s="27" t="n"/>
      <c r="XEZ1" s="27" t="n"/>
      <c r="XFA1" s="27" t="n"/>
      <c r="XFB1" s="27" t="n"/>
      <c r="XFC1" s="27" t="n"/>
      <c r="XFD1" s="27" t="n"/>
    </row>
    <row r="2" ht="44" customFormat="1" customHeight="1" s="25">
      <c r="A2" s="27" t="n"/>
      <c r="B2" s="6" t="inlineStr">
        <is>
          <t>Expense Register</t>
        </is>
      </c>
      <c r="XEW2" s="27" t="n"/>
      <c r="XEX2" s="27" t="n"/>
      <c r="XEY2" s="27" t="n"/>
      <c r="XEZ2" s="27" t="n"/>
      <c r="XFA2" s="27" t="n"/>
      <c r="XFB2" s="27" t="n"/>
      <c r="XFC2" s="27" t="n"/>
      <c r="XFD2" s="27" t="n"/>
    </row>
    <row r="3" ht="19" customFormat="1" customHeight="1" s="25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XEW3" s="27" t="n"/>
      <c r="XEX3" s="27" t="n"/>
      <c r="XEY3" s="27" t="n"/>
      <c r="XEZ3" s="27" t="n"/>
      <c r="XFA3" s="27" t="n"/>
      <c r="XFB3" s="27" t="n"/>
      <c r="XFC3" s="27" t="n"/>
      <c r="XFD3" s="27" t="n"/>
    </row>
    <row r="4" ht="33" customFormat="1" customHeight="1" s="2">
      <c r="A4" s="54" t="n"/>
      <c r="B4" s="90" t="inlineStr">
        <is>
          <t>Date</t>
        </is>
      </c>
      <c r="C4" s="9" t="inlineStr">
        <is>
          <t>Expense Item</t>
        </is>
      </c>
      <c r="D4" s="9" t="inlineStr">
        <is>
          <t>Summary</t>
        </is>
      </c>
      <c r="E4" s="91" t="inlineStr">
        <is>
          <t>Amount</t>
        </is>
      </c>
      <c r="F4" s="91" t="inlineStr">
        <is>
          <t>Account</t>
        </is>
      </c>
      <c r="G4" s="11" t="inlineStr">
        <is>
          <t>Handler</t>
        </is>
      </c>
      <c r="H4" s="11" t="inlineStr">
        <is>
          <t>Counterparty</t>
        </is>
      </c>
      <c r="I4" s="18" t="inlineStr">
        <is>
          <t>Remarks</t>
        </is>
      </c>
      <c r="J4" s="54" t="n"/>
    </row>
    <row r="5" ht="26" customFormat="1" customHeight="1" s="2">
      <c r="A5" s="54" t="n"/>
      <c r="B5" s="92" t="n">
        <v>44197</v>
      </c>
      <c r="C5" s="92" t="inlineStr">
        <is>
          <t>Project 1</t>
        </is>
      </c>
      <c r="D5" s="92" t="n"/>
      <c r="E5" s="93" t="n">
        <v>140</v>
      </c>
      <c r="F5" s="93" t="inlineStr">
        <is>
          <t>Cash Account</t>
        </is>
      </c>
      <c r="G5" s="94" t="n"/>
      <c r="H5" s="95" t="n"/>
      <c r="I5" s="94" t="n"/>
      <c r="J5" s="54" t="n"/>
    </row>
    <row r="6" ht="26" customFormat="1" customHeight="1" s="2">
      <c r="A6" s="54" t="n"/>
      <c r="B6" s="96" t="n">
        <v>44229</v>
      </c>
      <c r="C6" s="96" t="inlineStr">
        <is>
          <t>Project 2</t>
        </is>
      </c>
      <c r="D6" s="92" t="n"/>
      <c r="E6" s="97" t="n">
        <v>150</v>
      </c>
      <c r="F6" s="97" t="inlineStr">
        <is>
          <t>Bank of China</t>
        </is>
      </c>
      <c r="G6" s="94" t="n"/>
      <c r="H6" s="95" t="n"/>
      <c r="I6" s="94" t="n"/>
      <c r="J6" s="54" t="n"/>
    </row>
    <row r="7" ht="26" customFormat="1" customHeight="1" s="2">
      <c r="A7" s="54" t="n"/>
      <c r="B7" s="96" t="n">
        <v>44260</v>
      </c>
      <c r="C7" s="96" t="inlineStr">
        <is>
          <t>Project 3</t>
        </is>
      </c>
      <c r="D7" s="92" t="n"/>
      <c r="E7" s="97" t="n">
        <v>60</v>
      </c>
      <c r="F7" s="97" t="inlineStr">
        <is>
          <t>China Construction Bank</t>
        </is>
      </c>
      <c r="G7" s="94" t="n"/>
      <c r="H7" s="95" t="n"/>
      <c r="I7" s="94" t="n"/>
      <c r="J7" s="54" t="n"/>
    </row>
    <row r="8" ht="26" customFormat="1" customHeight="1" s="2">
      <c r="A8" s="54" t="n"/>
      <c r="B8" s="96" t="n">
        <v>44292</v>
      </c>
      <c r="C8" s="96" t="inlineStr">
        <is>
          <t>Project 4</t>
        </is>
      </c>
      <c r="D8" s="92" t="n"/>
      <c r="E8" s="97" t="n">
        <v>270</v>
      </c>
      <c r="F8" s="97" t="inlineStr">
        <is>
          <t>Other Accounts</t>
        </is>
      </c>
      <c r="G8" s="94" t="n"/>
      <c r="H8" s="95" t="n"/>
      <c r="I8" s="94" t="n"/>
      <c r="J8" s="54" t="n"/>
    </row>
    <row r="9" ht="26" customFormat="1" customHeight="1" s="2">
      <c r="A9" s="54" t="n"/>
      <c r="B9" s="96" t="n">
        <v>44324</v>
      </c>
      <c r="C9" s="96" t="inlineStr">
        <is>
          <t>Project 5</t>
        </is>
      </c>
      <c r="D9" s="92" t="n"/>
      <c r="E9" s="97" t="n">
        <v>15</v>
      </c>
      <c r="F9" s="93" t="inlineStr">
        <is>
          <t>Cash Account</t>
        </is>
      </c>
      <c r="G9" s="94" t="n"/>
      <c r="H9" s="95" t="n"/>
      <c r="I9" s="94" t="n"/>
      <c r="J9" s="54" t="n"/>
    </row>
    <row r="10" ht="26" customFormat="1" customHeight="1" s="2">
      <c r="A10" s="54" t="n"/>
      <c r="B10" s="96" t="n">
        <v>44356</v>
      </c>
      <c r="C10" s="96" t="inlineStr">
        <is>
          <t>Project 6</t>
        </is>
      </c>
      <c r="D10" s="92" t="n"/>
      <c r="E10" s="97" t="n">
        <v>190</v>
      </c>
      <c r="F10" s="97" t="inlineStr">
        <is>
          <t>Bank of China</t>
        </is>
      </c>
      <c r="G10" s="94" t="n"/>
      <c r="H10" s="95" t="n"/>
      <c r="I10" s="94" t="n"/>
      <c r="J10" s="54" t="n"/>
    </row>
    <row r="11" ht="26" customFormat="1" customHeight="1" s="2">
      <c r="A11" s="54" t="n"/>
      <c r="B11" s="96" t="n">
        <v>44388</v>
      </c>
      <c r="C11" s="96" t="inlineStr">
        <is>
          <t>Project 1</t>
        </is>
      </c>
      <c r="D11" s="92" t="n"/>
      <c r="E11" s="97" t="n">
        <v>200</v>
      </c>
      <c r="F11" s="97" t="inlineStr">
        <is>
          <t>China Construction Bank</t>
        </is>
      </c>
      <c r="G11" s="94" t="n"/>
      <c r="H11" s="95" t="n"/>
      <c r="I11" s="94" t="n"/>
      <c r="J11" s="54" t="n"/>
    </row>
    <row r="12" ht="26" customFormat="1" customHeight="1" s="2">
      <c r="A12" s="54" t="n"/>
      <c r="B12" s="96" t="n">
        <v>44420</v>
      </c>
      <c r="C12" s="96" t="inlineStr">
        <is>
          <t>Project 2</t>
        </is>
      </c>
      <c r="D12" s="92" t="n"/>
      <c r="E12" s="97" t="n">
        <v>310</v>
      </c>
      <c r="F12" s="97" t="inlineStr">
        <is>
          <t>Other Accounts</t>
        </is>
      </c>
      <c r="G12" s="94" t="n"/>
      <c r="H12" s="95" t="n"/>
      <c r="I12" s="94" t="n"/>
      <c r="J12" s="54" t="n"/>
    </row>
    <row r="13" ht="26" customFormat="1" customHeight="1" s="2">
      <c r="A13" s="54" t="n"/>
      <c r="B13" s="96" t="n">
        <v>44452</v>
      </c>
      <c r="C13" s="96" t="inlineStr">
        <is>
          <t>Project 3</t>
        </is>
      </c>
      <c r="D13" s="92" t="n"/>
      <c r="E13" s="97" t="n">
        <v>120</v>
      </c>
      <c r="F13" s="93" t="inlineStr">
        <is>
          <t>Cash Account</t>
        </is>
      </c>
      <c r="G13" s="94" t="n"/>
      <c r="H13" s="95" t="n"/>
      <c r="I13" s="94" t="n"/>
      <c r="J13" s="54" t="n"/>
    </row>
    <row r="14" ht="26" customFormat="1" customHeight="1" s="2">
      <c r="A14" s="54" t="n"/>
      <c r="B14" s="96" t="n">
        <v>44484</v>
      </c>
      <c r="C14" s="96" t="inlineStr">
        <is>
          <t>Project 4</t>
        </is>
      </c>
      <c r="D14" s="92" t="n"/>
      <c r="E14" s="97" t="n">
        <v>130</v>
      </c>
      <c r="F14" s="97" t="inlineStr">
        <is>
          <t>Bank of China</t>
        </is>
      </c>
      <c r="G14" s="94" t="n"/>
      <c r="H14" s="95" t="n"/>
      <c r="I14" s="94" t="n"/>
      <c r="J14" s="54" t="n"/>
    </row>
    <row r="15" ht="26" customFormat="1" customHeight="1" s="2">
      <c r="A15" s="54" t="n"/>
      <c r="B15" s="96" t="n">
        <v>44516</v>
      </c>
      <c r="C15" s="96" t="inlineStr">
        <is>
          <t>Project 5</t>
        </is>
      </c>
      <c r="D15" s="92" t="n"/>
      <c r="E15" s="97" t="n">
        <v>170</v>
      </c>
      <c r="F15" s="97" t="inlineStr">
        <is>
          <t>China Construction Bank</t>
        </is>
      </c>
      <c r="G15" s="94" t="n"/>
      <c r="H15" s="95" t="n"/>
      <c r="I15" s="94" t="n"/>
      <c r="J15" s="54" t="n"/>
    </row>
    <row r="16" ht="26" customFormat="1" customHeight="1" s="2">
      <c r="A16" s="54" t="n"/>
      <c r="B16" s="96" t="n">
        <v>44548</v>
      </c>
      <c r="C16" s="96" t="inlineStr">
        <is>
          <t>Project 6</t>
        </is>
      </c>
      <c r="D16" s="92" t="n"/>
      <c r="E16" s="97" t="n">
        <v>180</v>
      </c>
      <c r="F16" s="97" t="inlineStr">
        <is>
          <t>Other Accounts</t>
        </is>
      </c>
      <c r="G16" s="94" t="n"/>
      <c r="H16" s="95" t="n"/>
      <c r="I16" s="94" t="n"/>
      <c r="J16" s="54" t="n"/>
    </row>
    <row r="17" ht="26" customFormat="1" customHeight="1" s="2">
      <c r="A17" s="54" t="n"/>
      <c r="B17" s="96" t="n">
        <v>44317</v>
      </c>
      <c r="C17" s="92" t="inlineStr">
        <is>
          <t>Project 1</t>
        </is>
      </c>
      <c r="D17" s="92" t="n"/>
      <c r="E17" s="97" t="n">
        <v>12</v>
      </c>
      <c r="F17" s="93" t="inlineStr">
        <is>
          <t>Cash Account</t>
        </is>
      </c>
      <c r="G17" s="94" t="n"/>
      <c r="H17" s="95" t="n"/>
      <c r="I17" s="94" t="n"/>
      <c r="J17" s="54" t="n"/>
    </row>
    <row r="18" ht="26" customFormat="1" customHeight="1" s="2">
      <c r="A18" s="54" t="n"/>
      <c r="B18" s="96" t="n">
        <v>44318</v>
      </c>
      <c r="C18" s="96" t="inlineStr">
        <is>
          <t>Project 2</t>
        </is>
      </c>
      <c r="D18" s="92" t="n"/>
      <c r="E18" s="97" t="n">
        <v>15</v>
      </c>
      <c r="F18" s="97" t="inlineStr">
        <is>
          <t>Bank of China</t>
        </is>
      </c>
      <c r="G18" s="94" t="n"/>
      <c r="H18" s="95" t="n"/>
      <c r="I18" s="94" t="n"/>
      <c r="J18" s="54" t="n"/>
    </row>
    <row r="19" ht="26" customFormat="1" customHeight="1" s="2">
      <c r="A19" s="54" t="n"/>
      <c r="B19" s="96" t="n">
        <v>44319</v>
      </c>
      <c r="C19" s="96" t="inlineStr">
        <is>
          <t>Project 3</t>
        </is>
      </c>
      <c r="D19" s="92" t="n"/>
      <c r="E19" s="97" t="n">
        <v>20</v>
      </c>
      <c r="F19" s="97" t="inlineStr">
        <is>
          <t>China Construction Bank</t>
        </is>
      </c>
      <c r="G19" s="94" t="n"/>
      <c r="H19" s="95" t="n"/>
      <c r="I19" s="94" t="n"/>
      <c r="J19" s="54" t="n"/>
    </row>
    <row r="20" ht="26" customFormat="1" customHeight="1" s="2">
      <c r="A20" s="54" t="n"/>
      <c r="B20" s="96" t="n">
        <v>44320</v>
      </c>
      <c r="C20" s="96" t="inlineStr">
        <is>
          <t>Project 4</t>
        </is>
      </c>
      <c r="D20" s="92" t="n"/>
      <c r="E20" s="97" t="n">
        <v>10</v>
      </c>
      <c r="F20" s="97" t="inlineStr">
        <is>
          <t>Other Accounts</t>
        </is>
      </c>
      <c r="G20" s="94" t="n"/>
      <c r="H20" s="95" t="n"/>
      <c r="I20" s="94" t="n"/>
      <c r="J20" s="54" t="n"/>
    </row>
    <row r="21" ht="26" customFormat="1" customHeight="1" s="2">
      <c r="A21" s="54" t="n"/>
      <c r="B21" s="96" t="n">
        <v>44321</v>
      </c>
      <c r="C21" s="96" t="inlineStr">
        <is>
          <t>Project 5</t>
        </is>
      </c>
      <c r="D21" s="92" t="n"/>
      <c r="E21" s="97" t="n">
        <v>15</v>
      </c>
      <c r="F21" s="93" t="inlineStr">
        <is>
          <t>Cash Account</t>
        </is>
      </c>
      <c r="G21" s="94" t="n"/>
      <c r="H21" s="95" t="n"/>
      <c r="I21" s="94" t="n"/>
      <c r="J21" s="54" t="n"/>
    </row>
    <row r="22" ht="26" customFormat="1" customHeight="1" s="2">
      <c r="A22" s="54" t="n"/>
      <c r="B22" s="96" t="n">
        <v>44322</v>
      </c>
      <c r="C22" s="96" t="inlineStr">
        <is>
          <t>Project 6</t>
        </is>
      </c>
      <c r="D22" s="92" t="n"/>
      <c r="E22" s="97" t="n">
        <v>15</v>
      </c>
      <c r="F22" s="97" t="inlineStr">
        <is>
          <t>Bank of China</t>
        </is>
      </c>
      <c r="G22" s="94" t="n"/>
      <c r="H22" s="95" t="n"/>
      <c r="I22" s="94" t="n"/>
      <c r="J22" s="54" t="n"/>
    </row>
    <row r="23" ht="26" customFormat="1" customHeight="1" s="2">
      <c r="A23" s="54" t="n"/>
      <c r="B23" s="96" t="n">
        <v>44323</v>
      </c>
      <c r="C23" s="96" t="inlineStr">
        <is>
          <t>Project 1</t>
        </is>
      </c>
      <c r="D23" s="92" t="n"/>
      <c r="E23" s="97" t="n">
        <v>10</v>
      </c>
      <c r="F23" s="97" t="inlineStr">
        <is>
          <t>China Construction Bank</t>
        </is>
      </c>
      <c r="G23" s="94" t="n"/>
      <c r="H23" s="95" t="n"/>
      <c r="I23" s="94" t="n"/>
      <c r="J23" s="54" t="n"/>
    </row>
    <row r="24" ht="26" customFormat="1" customHeight="1" s="2">
      <c r="A24" s="54" t="n"/>
      <c r="B24" s="96" t="n">
        <v>44324</v>
      </c>
      <c r="C24" s="96" t="inlineStr">
        <is>
          <t>Project 2</t>
        </is>
      </c>
      <c r="D24" s="92" t="n"/>
      <c r="E24" s="97" t="n">
        <v>12</v>
      </c>
      <c r="F24" s="97" t="inlineStr">
        <is>
          <t>Other Accounts</t>
        </is>
      </c>
      <c r="G24" s="94" t="n"/>
      <c r="H24" s="95" t="n"/>
      <c r="I24" s="94" t="n"/>
      <c r="J24" s="54" t="n"/>
    </row>
    <row r="25" ht="26" customFormat="1" customHeight="1" s="2">
      <c r="A25" s="54" t="n"/>
      <c r="B25" s="96" t="n">
        <v>44325</v>
      </c>
      <c r="C25" s="96" t="inlineStr">
        <is>
          <t>Project 3</t>
        </is>
      </c>
      <c r="D25" s="92" t="n"/>
      <c r="E25" s="97" t="n">
        <v>13</v>
      </c>
      <c r="F25" s="93" t="inlineStr">
        <is>
          <t>Cash Account</t>
        </is>
      </c>
      <c r="G25" s="94" t="n"/>
      <c r="H25" s="95" t="n"/>
      <c r="I25" s="94" t="n"/>
      <c r="J25" s="54" t="n"/>
    </row>
    <row r="26" ht="26" customFormat="1" customHeight="1" s="2">
      <c r="A26" s="54" t="n"/>
      <c r="B26" s="96" t="n">
        <v>44326</v>
      </c>
      <c r="C26" s="96" t="inlineStr">
        <is>
          <t>Project 4</t>
        </is>
      </c>
      <c r="D26" s="92" t="n"/>
      <c r="E26" s="97" t="n">
        <v>7</v>
      </c>
      <c r="F26" s="97" t="inlineStr">
        <is>
          <t>Bank of China</t>
        </is>
      </c>
      <c r="G26" s="94" t="n"/>
      <c r="H26" s="95" t="n"/>
      <c r="I26" s="94" t="n"/>
      <c r="J26" s="54" t="n"/>
    </row>
    <row r="27" customFormat="1" s="24">
      <c r="A27" s="27" t="n"/>
      <c r="B27" s="96" t="n">
        <v>44327</v>
      </c>
      <c r="C27" s="96" t="inlineStr">
        <is>
          <t>Project 5</t>
        </is>
      </c>
      <c r="D27" s="92" t="n"/>
      <c r="E27" s="97" t="n">
        <v>15</v>
      </c>
      <c r="F27" s="97" t="inlineStr">
        <is>
          <t>China Construction Bank</t>
        </is>
      </c>
      <c r="G27" s="94" t="n"/>
      <c r="H27" s="95" t="n"/>
      <c r="I27" s="94" t="n"/>
      <c r="XEX27" s="27" t="n"/>
      <c r="XEY27" s="27" t="n"/>
      <c r="XEZ27" s="27" t="n"/>
      <c r="XFA27" s="27" t="n"/>
      <c r="XFB27" s="27" t="n"/>
      <c r="XFC27" s="27" t="n"/>
      <c r="XFD27" s="27" t="n"/>
    </row>
    <row r="28" customFormat="1" s="24">
      <c r="A28" s="27" t="n"/>
      <c r="B28" s="96" t="n">
        <v>44328</v>
      </c>
      <c r="C28" s="96" t="inlineStr">
        <is>
          <t>Project 6</t>
        </is>
      </c>
      <c r="D28" s="92" t="n"/>
      <c r="E28" s="97" t="n">
        <v>15</v>
      </c>
      <c r="F28" s="97" t="inlineStr">
        <is>
          <t>Other Accounts</t>
        </is>
      </c>
      <c r="G28" s="94" t="n"/>
      <c r="H28" s="95" t="n"/>
      <c r="I28" s="94" t="n"/>
      <c r="XEX28" s="27" t="n"/>
      <c r="XEY28" s="27" t="n"/>
      <c r="XEZ28" s="27" t="n"/>
      <c r="XFA28" s="27" t="n"/>
      <c r="XFB28" s="27" t="n"/>
      <c r="XFC28" s="27" t="n"/>
      <c r="XFD28" s="27" t="n"/>
    </row>
    <row r="29" s="82">
      <c r="B29" s="96" t="n">
        <v>44329</v>
      </c>
      <c r="C29" s="92" t="inlineStr">
        <is>
          <t>Project 1</t>
        </is>
      </c>
      <c r="D29" s="92" t="n"/>
      <c r="E29" s="97" t="n">
        <v>27</v>
      </c>
      <c r="F29" s="93" t="inlineStr">
        <is>
          <t>Cash Account</t>
        </is>
      </c>
      <c r="G29" s="94" t="n"/>
      <c r="H29" s="95" t="n"/>
      <c r="I29" s="94" t="n"/>
    </row>
    <row r="30" s="82">
      <c r="B30" s="96" t="n">
        <v>44330</v>
      </c>
      <c r="C30" s="96" t="inlineStr">
        <is>
          <t>Project 2</t>
        </is>
      </c>
      <c r="D30" s="92" t="n"/>
      <c r="E30" s="97" t="n">
        <v>17</v>
      </c>
      <c r="F30" s="97" t="inlineStr">
        <is>
          <t>Bank of China</t>
        </is>
      </c>
      <c r="G30" s="94" t="n"/>
      <c r="H30" s="95" t="n"/>
      <c r="I30" s="94" t="n"/>
    </row>
    <row r="31" s="82">
      <c r="B31" s="96" t="n">
        <v>44331</v>
      </c>
      <c r="C31" s="96" t="inlineStr">
        <is>
          <t>Project 3</t>
        </is>
      </c>
      <c r="D31" s="92" t="n"/>
      <c r="E31" s="97" t="n">
        <v>25</v>
      </c>
      <c r="F31" s="97" t="inlineStr">
        <is>
          <t>China Construction Bank</t>
        </is>
      </c>
      <c r="G31" s="94" t="n"/>
      <c r="H31" s="95" t="n"/>
      <c r="I31" s="94" t="n"/>
    </row>
    <row r="32" s="82">
      <c r="B32" s="96" t="n">
        <v>44332</v>
      </c>
      <c r="C32" s="96" t="inlineStr">
        <is>
          <t>Project 4</t>
        </is>
      </c>
      <c r="D32" s="92" t="n"/>
      <c r="E32" s="97" t="n">
        <v>32</v>
      </c>
      <c r="F32" s="97" t="inlineStr">
        <is>
          <t>Other Accounts</t>
        </is>
      </c>
      <c r="G32" s="94" t="n"/>
      <c r="H32" s="95" t="n"/>
      <c r="I32" s="94" t="n"/>
    </row>
    <row r="33" s="82">
      <c r="B33" s="96" t="n">
        <v>44333</v>
      </c>
      <c r="C33" s="96" t="inlineStr">
        <is>
          <t>Project 5</t>
        </is>
      </c>
      <c r="D33" s="92" t="n"/>
      <c r="E33" s="97" t="n">
        <v>31</v>
      </c>
      <c r="F33" s="93" t="inlineStr">
        <is>
          <t>Cash Account</t>
        </is>
      </c>
      <c r="G33" s="94" t="n"/>
      <c r="H33" s="95" t="n"/>
      <c r="I33" s="94" t="n"/>
    </row>
    <row r="34" s="82">
      <c r="B34" s="96" t="n">
        <v>44334</v>
      </c>
      <c r="C34" s="96" t="inlineStr">
        <is>
          <t>Project 6</t>
        </is>
      </c>
      <c r="D34" s="92" t="n"/>
      <c r="E34" s="97" t="n">
        <v>12</v>
      </c>
      <c r="F34" s="97" t="inlineStr">
        <is>
          <t>Bank of China</t>
        </is>
      </c>
      <c r="G34" s="94" t="n"/>
      <c r="H34" s="95" t="n"/>
      <c r="I34" s="94" t="n"/>
    </row>
    <row r="35" s="82">
      <c r="B35" s="96" t="n">
        <v>44335</v>
      </c>
      <c r="C35" s="96" t="inlineStr">
        <is>
          <t>Project 1</t>
        </is>
      </c>
      <c r="D35" s="92" t="n"/>
      <c r="E35" s="97" t="n">
        <v>13</v>
      </c>
      <c r="F35" s="97" t="inlineStr">
        <is>
          <t>China Construction Bank</t>
        </is>
      </c>
      <c r="G35" s="94" t="n"/>
      <c r="H35" s="95" t="n"/>
      <c r="I35" s="94" t="n"/>
    </row>
    <row r="36" s="82">
      <c r="B36" s="96" t="n">
        <v>44336</v>
      </c>
      <c r="C36" s="96" t="inlineStr">
        <is>
          <t>Project 2</t>
        </is>
      </c>
      <c r="D36" s="92" t="n"/>
      <c r="E36" s="97" t="n">
        <v>17</v>
      </c>
      <c r="F36" s="97" t="inlineStr">
        <is>
          <t>Other Accounts</t>
        </is>
      </c>
      <c r="G36" s="94" t="n"/>
      <c r="H36" s="95" t="n"/>
      <c r="I36" s="94" t="n"/>
    </row>
    <row r="37" s="82">
      <c r="B37" s="96" t="n">
        <v>44337</v>
      </c>
      <c r="C37" s="96" t="inlineStr">
        <is>
          <t>Project 3</t>
        </is>
      </c>
      <c r="D37" s="92" t="n"/>
      <c r="E37" s="97" t="n">
        <v>18</v>
      </c>
      <c r="F37" s="93" t="inlineStr">
        <is>
          <t>Cash Account</t>
        </is>
      </c>
      <c r="G37" s="94" t="n"/>
      <c r="H37" s="95" t="n"/>
      <c r="I37" s="94" t="n"/>
    </row>
    <row r="38" s="82">
      <c r="B38" s="96" t="n">
        <v>44338</v>
      </c>
      <c r="C38" s="96" t="inlineStr">
        <is>
          <t>Project 4</t>
        </is>
      </c>
      <c r="D38" s="92" t="n"/>
      <c r="E38" s="97" t="n">
        <v>9</v>
      </c>
      <c r="F38" s="97" t="inlineStr">
        <is>
          <t>Bank of China</t>
        </is>
      </c>
      <c r="G38" s="94" t="n"/>
      <c r="H38" s="95" t="n"/>
      <c r="I38" s="94" t="n"/>
    </row>
    <row r="39" s="82">
      <c r="B39" s="96" t="n">
        <v>44339</v>
      </c>
      <c r="C39" s="96" t="inlineStr">
        <is>
          <t>Project 5</t>
        </is>
      </c>
      <c r="D39" s="92" t="n"/>
      <c r="E39" s="97" t="n">
        <v>20</v>
      </c>
      <c r="F39" s="97" t="inlineStr">
        <is>
          <t>China Construction Bank</t>
        </is>
      </c>
      <c r="G39" s="94" t="n"/>
      <c r="H39" s="95" t="n"/>
      <c r="I39" s="94" t="n"/>
    </row>
    <row r="40" s="82">
      <c r="B40" s="96" t="n">
        <v>44340</v>
      </c>
      <c r="C40" s="96" t="inlineStr">
        <is>
          <t>Project 6</t>
        </is>
      </c>
      <c r="D40" s="92" t="n"/>
      <c r="E40" s="97" t="n">
        <v>15</v>
      </c>
      <c r="F40" s="97" t="inlineStr">
        <is>
          <t>Other Accounts</t>
        </is>
      </c>
      <c r="G40" s="94" t="n"/>
      <c r="H40" s="95" t="n"/>
      <c r="I40" s="94" t="n"/>
    </row>
    <row r="41" s="82">
      <c r="B41" s="96" t="n">
        <v>44341</v>
      </c>
      <c r="C41" s="92" t="inlineStr">
        <is>
          <t>Project 1</t>
        </is>
      </c>
      <c r="D41" s="92" t="n"/>
      <c r="E41" s="97" t="n">
        <v>9</v>
      </c>
      <c r="F41" s="93" t="inlineStr">
        <is>
          <t>Cash Account</t>
        </is>
      </c>
      <c r="G41" s="94" t="n"/>
      <c r="H41" s="95" t="n"/>
      <c r="I41" s="94" t="n"/>
    </row>
    <row r="42" s="82">
      <c r="B42" s="96" t="n">
        <v>44342</v>
      </c>
      <c r="C42" s="96" t="inlineStr">
        <is>
          <t>Project 2</t>
        </is>
      </c>
      <c r="D42" s="92" t="n"/>
      <c r="E42" s="97" t="n">
        <v>13</v>
      </c>
      <c r="F42" s="97" t="inlineStr">
        <is>
          <t>Bank of China</t>
        </is>
      </c>
      <c r="G42" s="94" t="n"/>
      <c r="H42" s="95" t="n"/>
      <c r="I42" s="94" t="n"/>
    </row>
    <row r="43" s="82">
      <c r="B43" s="96" t="n">
        <v>44343</v>
      </c>
      <c r="C43" s="96" t="inlineStr">
        <is>
          <t>Project 3</t>
        </is>
      </c>
      <c r="D43" s="92" t="n"/>
      <c r="E43" s="97" t="n">
        <v>17</v>
      </c>
      <c r="F43" s="97" t="inlineStr">
        <is>
          <t>China Construction Bank</t>
        </is>
      </c>
      <c r="G43" s="94" t="n"/>
      <c r="H43" s="95" t="n"/>
      <c r="I43" s="94" t="n"/>
    </row>
    <row r="44" s="82">
      <c r="B44" s="96" t="n">
        <v>44344</v>
      </c>
      <c r="C44" s="96" t="inlineStr">
        <is>
          <t>Project 4</t>
        </is>
      </c>
      <c r="D44" s="92" t="n"/>
      <c r="E44" s="97" t="n">
        <v>18</v>
      </c>
      <c r="F44" s="97" t="inlineStr">
        <is>
          <t>Other Accounts</t>
        </is>
      </c>
      <c r="G44" s="94" t="n"/>
      <c r="H44" s="95" t="n"/>
      <c r="I44" s="94" t="n"/>
    </row>
    <row r="45" s="82">
      <c r="B45" s="96" t="n">
        <v>44345</v>
      </c>
      <c r="C45" s="96" t="inlineStr">
        <is>
          <t>Project 5</t>
        </is>
      </c>
      <c r="D45" s="92" t="n"/>
      <c r="E45" s="97" t="n">
        <v>25</v>
      </c>
      <c r="F45" s="97" t="inlineStr">
        <is>
          <t>China Construction Bank</t>
        </is>
      </c>
      <c r="G45" s="94" t="n"/>
      <c r="H45" s="95" t="n"/>
      <c r="I45" s="94" t="n"/>
    </row>
    <row r="46" s="82">
      <c r="B46" s="96" t="n">
        <v>44346</v>
      </c>
      <c r="C46" s="96" t="inlineStr">
        <is>
          <t>Project 6</t>
        </is>
      </c>
      <c r="D46" s="92" t="n"/>
      <c r="E46" s="97" t="n">
        <v>9</v>
      </c>
      <c r="F46" s="97" t="inlineStr">
        <is>
          <t>Other Accounts</t>
        </is>
      </c>
      <c r="G46" s="94" t="n"/>
      <c r="H46" s="95" t="n"/>
      <c r="I46" s="94" t="n"/>
    </row>
    <row r="47" s="82">
      <c r="B47" s="96" t="n">
        <v>44347</v>
      </c>
      <c r="C47" s="96" t="inlineStr">
        <is>
          <t>Project 1</t>
        </is>
      </c>
      <c r="D47" s="92" t="n"/>
      <c r="E47" s="97" t="n">
        <v>13</v>
      </c>
      <c r="F47" s="93" t="inlineStr">
        <is>
          <t>Cash Account</t>
        </is>
      </c>
      <c r="G47" s="94" t="n"/>
      <c r="H47" s="95" t="n"/>
      <c r="I47" s="94" t="n"/>
    </row>
  </sheetData>
  <mergeCells count="1">
    <mergeCell ref="B2:I2"/>
  </mergeCells>
  <dataValidations count="2">
    <dataValidation sqref="F5:F8 F9:F12 F13:F16 F17:F20 F21:F24 F25:F28 F29:F32 F33:F36 F37:F40 F41:F44 F45:F46 F47 F48:F1048576" showDropDown="0" showInputMessage="1" showErrorMessage="1" allowBlank="1" type="list">
      <formula1>收入支出看板!$P$7:$P$10</formula1>
    </dataValidation>
    <dataValidation sqref="C5:C16 C17:C28 C29:C40 C41:C47 C48:C1048576" showDropDown="0" showInputMessage="1" showErrorMessage="1" allowBlank="1" type="list">
      <formula1>收入支出看板!$P$32:$P$37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2021-05-14T03:15:00Z</dcterms:created>
  <dcterms:modified xmlns:dcterms="http://purl.org/dc/terms/" xmlns:xsi="http://www.w3.org/2001/XMLSchema-instance" xsi:type="dcterms:W3CDTF">2026-05-06T11:00:46Z</dcterms:modified>
  <cp:lastModifiedBy>No One Puts Socks on Me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830FF9F2E19746FE8A78C89CF95B9AFF</vt:lpwstr>
  </property>
  <property name="KSOProductBuildVer" fmtid="{D5CDD505-2E9C-101B-9397-08002B2CF9AE}" pid="3">
    <vt:lpwstr xmlns:vt="http://schemas.openxmlformats.org/officeDocument/2006/docPropsVTypes">2052-11.1.0.10495</vt:lpwstr>
  </property>
  <property name="KSOTemplateUUID" fmtid="{D5CDD505-2E9C-101B-9397-08002B2CF9AE}" pid="4">
    <vt:lpwstr xmlns:vt="http://schemas.openxmlformats.org/officeDocument/2006/docPropsVTypes">v1.0_mb_XfjHYXKOVjVWqTOvcMdAhg==</vt:lpwstr>
  </property>
</Properties>
</file>