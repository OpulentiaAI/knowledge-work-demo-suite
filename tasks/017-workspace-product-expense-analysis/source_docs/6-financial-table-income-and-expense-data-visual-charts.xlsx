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095" windowHeight="12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4">
    <font>
      <name val="宋体"/>
      <charset val="134"/>
      <color theme="1"/>
      <sz val="11"/>
      <scheme val="minor"/>
    </font>
    <font>
      <name val="Microsoft YaHei UI"/>
      <charset val="134"/>
      <color theme="1" tint="0.149998474074526"/>
      <sz val="12"/>
    </font>
    <font>
      <name val="Microsoft YaHei UI"/>
      <charset val="134"/>
      <color theme="0"/>
      <sz val="12"/>
    </font>
    <font>
      <name val="Microsoft YaHei UI"/>
      <charset val="134"/>
      <b val="1"/>
      <color theme="1" tint="0.149998474074526"/>
      <sz val="22"/>
    </font>
    <font>
      <name val="Microsoft YaHei UI"/>
      <charset val="134"/>
      <b val="1"/>
      <color theme="0"/>
      <sz val="12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E9CE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8" fillId="19" borderId="0" applyAlignment="1">
      <alignment vertical="center"/>
    </xf>
    <xf numFmtId="0" fontId="13" fillId="15" borderId="7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8" fillId="10" borderId="0" applyAlignment="1">
      <alignment vertical="center"/>
    </xf>
    <xf numFmtId="0" fontId="9" fillId="6" borderId="0" applyAlignment="1">
      <alignment vertical="center"/>
    </xf>
    <xf numFmtId="43" fontId="0" fillId="0" borderId="0" applyAlignment="1">
      <alignment vertical="center"/>
    </xf>
    <xf numFmtId="0" fontId="11" fillId="22" borderId="0" applyAlignment="1">
      <alignment vertical="center"/>
    </xf>
    <xf numFmtId="0" fontId="16" fillId="0" borderId="0" applyAlignment="1">
      <alignment vertical="center"/>
    </xf>
    <xf numFmtId="9" fontId="0" fillId="0" borderId="0" applyAlignment="1">
      <alignment vertical="center"/>
    </xf>
    <xf numFmtId="0" fontId="18" fillId="0" borderId="0" applyAlignment="1">
      <alignment vertical="center"/>
    </xf>
    <xf numFmtId="0" fontId="0" fillId="23" borderId="9" applyAlignment="1">
      <alignment vertical="center"/>
    </xf>
    <xf numFmtId="0" fontId="11" fillId="14" borderId="0" applyAlignment="1">
      <alignment vertical="center"/>
    </xf>
    <xf numFmtId="0" fontId="7" fillId="0" borderId="0" applyAlignment="1">
      <alignment vertical="center"/>
    </xf>
    <xf numFmtId="0" fontId="20" fillId="0" borderId="0" applyAlignment="1">
      <alignment vertical="center"/>
    </xf>
    <xf numFmtId="0" fontId="19" fillId="0" borderId="0" applyAlignment="1">
      <alignment vertical="center"/>
    </xf>
    <xf numFmtId="0" fontId="5" fillId="0" borderId="0" applyAlignment="1">
      <alignment vertical="center"/>
    </xf>
    <xf numFmtId="0" fontId="6" fillId="0" borderId="4" applyAlignment="1">
      <alignment vertical="center"/>
    </xf>
    <xf numFmtId="0" fontId="17" fillId="0" borderId="4" applyAlignment="1">
      <alignment vertical="center"/>
    </xf>
    <xf numFmtId="0" fontId="11" fillId="21" borderId="0" applyAlignment="1">
      <alignment vertical="center"/>
    </xf>
    <xf numFmtId="0" fontId="7" fillId="0" borderId="5" applyAlignment="1">
      <alignment vertical="center"/>
    </xf>
    <xf numFmtId="0" fontId="11" fillId="13" borderId="0" applyAlignment="1">
      <alignment vertical="center"/>
    </xf>
    <xf numFmtId="0" fontId="21" fillId="18" borderId="10" applyAlignment="1">
      <alignment vertical="center"/>
    </xf>
    <xf numFmtId="0" fontId="14" fillId="18" borderId="7" applyAlignment="1">
      <alignment vertical="center"/>
    </xf>
    <xf numFmtId="0" fontId="10" fillId="9" borderId="6" applyAlignment="1">
      <alignment vertical="center"/>
    </xf>
    <xf numFmtId="0" fontId="8" fillId="30" borderId="0" applyAlignment="1">
      <alignment vertical="center"/>
    </xf>
    <xf numFmtId="0" fontId="11" fillId="33" borderId="0" applyAlignment="1">
      <alignment vertical="center"/>
    </xf>
    <xf numFmtId="0" fontId="15" fillId="0" borderId="8" applyAlignment="1">
      <alignment vertical="center"/>
    </xf>
    <xf numFmtId="0" fontId="23" fillId="0" borderId="11" applyAlignment="1">
      <alignment vertical="center"/>
    </xf>
    <xf numFmtId="0" fontId="22" fillId="29" borderId="0" applyAlignment="1">
      <alignment vertical="center"/>
    </xf>
    <xf numFmtId="0" fontId="12" fillId="12" borderId="0" applyAlignment="1">
      <alignment vertical="center"/>
    </xf>
    <xf numFmtId="0" fontId="8" fillId="17" borderId="0" applyAlignment="1">
      <alignment vertical="center"/>
    </xf>
    <xf numFmtId="0" fontId="11" fillId="26" borderId="0" applyAlignment="1">
      <alignment vertical="center"/>
    </xf>
    <xf numFmtId="0" fontId="8" fillId="16" borderId="0" applyAlignment="1">
      <alignment vertical="center"/>
    </xf>
    <xf numFmtId="0" fontId="8" fillId="8" borderId="0" applyAlignment="1">
      <alignment vertical="center"/>
    </xf>
    <xf numFmtId="0" fontId="8" fillId="28" borderId="0" applyAlignment="1">
      <alignment vertical="center"/>
    </xf>
    <xf numFmtId="0" fontId="8" fillId="5" borderId="0" applyAlignment="1">
      <alignment vertical="center"/>
    </xf>
    <xf numFmtId="0" fontId="11" fillId="25" borderId="0" applyAlignment="1">
      <alignment vertical="center"/>
    </xf>
    <xf numFmtId="0" fontId="11" fillId="32" borderId="0" applyAlignment="1">
      <alignment vertical="center"/>
    </xf>
    <xf numFmtId="0" fontId="8" fillId="27" borderId="0" applyAlignment="1">
      <alignment vertical="center"/>
    </xf>
    <xf numFmtId="0" fontId="8" fillId="4" borderId="0" applyAlignment="1">
      <alignment vertical="center"/>
    </xf>
    <xf numFmtId="0" fontId="11" fillId="24" borderId="0" applyAlignment="1">
      <alignment vertical="center"/>
    </xf>
    <xf numFmtId="0" fontId="8" fillId="7" borderId="0" applyAlignment="1">
      <alignment vertical="center"/>
    </xf>
    <xf numFmtId="0" fontId="11" fillId="20" borderId="0" applyAlignment="1">
      <alignment vertical="center"/>
    </xf>
    <xf numFmtId="0" fontId="11" fillId="31" borderId="0" applyAlignment="1">
      <alignment vertical="center"/>
    </xf>
    <xf numFmtId="0" fontId="8" fillId="3" borderId="0" applyAlignment="1">
      <alignment vertical="center"/>
    </xf>
    <xf numFmtId="0" fontId="11" fillId="11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0" fontId="2" fillId="0" borderId="0" applyAlignment="1" pivotButton="0" quotePrefix="0" xfId="1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11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0" fontId="1" fillId="0" borderId="2" applyAlignment="1" pivotButton="0" quotePrefix="0" xfId="11">
      <alignment horizontal="center" vertical="center"/>
    </xf>
    <xf numFmtId="0" fontId="1" fillId="0" borderId="3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4" fillId="2" borderId="1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412330946698488"/>
          <y val="0.010231923601637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YaHei UI" panose="020B0503020204020204" charset="-122"/>
              <a:ea typeface="Microsoft YaHei UI" panose="020B0503020204020204" charset="-122"/>
              <a:cs typeface="Microsoft YaHei UI" panose="020B0503020204020204" charset="-122"/>
              <a:sym typeface="Microsoft YaHei UI" panose="020B0503020204020204" charset="-122"/>
            </a:defRPr>
          </a:pPr>
          <a:r>
            <a:t/>
          </a:r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Sheet1!$U$4</f>
              <strCache>
                <ptCount val="1"/>
                <pt idx="0">
                  <v>Income Amount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gency FB" panose="020B0503020202020204" charset="0"/>
                    <a:ea typeface="Agency FB" panose="020B0503020202020204" charset="0"/>
                    <a:cs typeface="Agency FB" panose="020B0503020202020204" charset="0"/>
                    <a:sym typeface="Agency FB" panose="020B0503020202020204" charset="0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Sheet1!$T$5:$T$8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Sheet1!$U$5:$U$8</f>
              <numCache>
                <formatCode xml:space="preserve">_ * #,##0.00_ ;_ * \-#,##0.00_ ;_ * "-"??_ ;_ @_ </formatCode>
                <ptCount val="4"/>
                <pt idx="0">
                  <v>9500</v>
                </pt>
                <pt idx="1">
                  <v>7200</v>
                </pt>
                <pt idx="2">
                  <v>9600</v>
                </pt>
                <pt idx="3">
                  <v>8800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588865158"/>
        <axId val="820796564"/>
      </barChart>
      <catAx>
        <axId val="58886515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  <crossAx val="820796564"/>
        <crosses val="autoZero"/>
        <auto val="1"/>
        <lblAlgn val="ctr"/>
        <lblOffset val="100"/>
        <noMultiLvlLbl val="0"/>
      </catAx>
      <valAx>
        <axId val="820796564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_ * #,##0.00_ ;_ * \-#,##0.00_ ;_ * &quot;-&quot;??_ ;_ @_ 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  <crossAx val="588865158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 defTabSz="914400">
              <a:defRPr lang="zh-CN"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rPr lang="zh-CN" altLang="en-US" sz="1200"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rPr>
              <a:t>Cost Amount</a:t>
            </a:r>
            <a:endParaRPr lang="zh-CN" altLang="en-US" sz="1200">
              <a:latin typeface="Microsoft YaHei UI" panose="020B0503020204020204" charset="-122"/>
              <a:ea typeface="Microsoft YaHei UI" panose="020B0503020204020204" charset="-122"/>
              <a:cs typeface="Microsoft YaHei UI" panose="020B0503020204020204" charset="-122"/>
              <a:sym typeface="Microsoft YaHei UI" panose="020B0503020204020204" charset="-122"/>
            </a:endParaRPr>
          </a:p>
        </rich>
      </tx>
      <layout>
        <manualLayout>
          <xMode val="edge"/>
          <yMode val="edge"/>
          <wMode val="factor"/>
          <hMode val="factor"/>
          <x val="0.410285165011214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7455943607818"/>
          <y val="0.142427281845537"/>
          <w val="0.788112784363986"/>
          <h val="0.783015713808091"/>
        </manualLayout>
      </layout>
      <barChart>
        <barDir val="bar"/>
        <grouping val="clustered"/>
        <varyColors val="0"/>
        <ser>
          <idx val="0"/>
          <order val="0"/>
          <tx>
            <strRef>
              <f>Sheet1!$V$4</f>
              <strCache>
                <ptCount val="1"/>
                <pt idx="0">
                  <v>Expense Amount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gency FB" panose="020B0503020202020204" charset="0"/>
                    <a:ea typeface="Agency FB" panose="020B0503020202020204" charset="0"/>
                    <a:cs typeface="Agency FB" panose="020B0503020202020204" charset="0"/>
                    <a:sym typeface="Agency FB" panose="020B0503020202020204" charset="0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Sheet1!$T$5:$T$8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Sheet1!$V$5:$V$8</f>
              <numCache>
                <formatCode xml:space="preserve">_ * #,##0.00_ ;_ * \-#,##0.00_ ;_ * "-"??_ ;_ @_ </formatCode>
                <ptCount val="4"/>
                <pt idx="0">
                  <v>3200</v>
                </pt>
                <pt idx="1">
                  <v>1900</v>
                </pt>
                <pt idx="2">
                  <v>2800</v>
                </pt>
                <pt idx="3">
                  <v>2300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1"/>
        <axId val="667898945"/>
        <axId val="743149773"/>
      </barChart>
      <catAx>
        <axId val="667898945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  <crossAx val="743149773"/>
        <crosses val="autoZero"/>
        <auto val="1"/>
        <lblAlgn val="ctr"/>
        <lblOffset val="100"/>
        <noMultiLvlLbl val="0"/>
      </catAx>
      <valAx>
        <axId val="743149773"/>
        <scaling>
          <orientation val="minMax"/>
        </scaling>
        <delete val="1"/>
        <axPos val="b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_ * #,##0.00_ ;_ * \-#,##0.00_ ;_ * &quot;-&quot;??_ ;_ @_ 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  <crossAx val="667898945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396468561584841"/>
          <y val="0.04385964912280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gency FB" panose="020B0503020202020204" charset="0"/>
              <a:ea typeface="Agency FB" panose="020B0503020202020204" charset="0"/>
              <a:cs typeface="Agency FB" panose="020B0503020202020204" charset="0"/>
              <a:sym typeface="Agency FB" panose="020B0503020202020204" charset="0"/>
            </a:defRPr>
          </a:pPr>
          <a:r>
            <a:t/>
          </a:r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Sheet1!$W$4</f>
              <strCache>
                <ptCount val="1"/>
                <pt idx="0">
                  <v>Operating Expense</v>
                </pt>
              </strCache>
            </strRef>
          </tx>
          <spPr>
            <a:ln xmlns:a="http://schemas.openxmlformats.org/drawingml/2006/main" w="28575" cap="rnd">
              <a:solidFill>
                <a:srgbClr val="3DBEC5"/>
              </a:solidFill>
              <a:prstDash val="solid"/>
              <a:round/>
            </a:ln>
          </spPr>
          <marker>
            <symbol val="square"/>
            <size val="10"/>
            <spPr>
              <a:solidFill xmlns:a="http://schemas.openxmlformats.org/drawingml/2006/main">
                <a:srgbClr val="3DBEC5"/>
              </a:solidFill>
              <a:ln xmlns:a="http://schemas.openxmlformats.org/drawingml/2006/main" w="9525">
                <a:solidFill>
                  <a:srgbClr val="3DBEC5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gency FB" panose="020B0503020202020204" charset="0"/>
                    <a:ea typeface="Agency FB" panose="020B0503020202020204" charset="0"/>
                    <a:cs typeface="Agency FB" panose="020B0503020202020204" charset="0"/>
                    <a:sym typeface="Agency FB" panose="020B0503020202020204" charset="0"/>
                  </a:defRPr>
                </a:pPr>
                <a:r>
                  <a:t/>
                </a: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Sheet1!$T$5:$T$8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Sheet1!$W$5:$W$8</f>
              <numCache>
                <formatCode xml:space="preserve">_ * #,##0.00_ ;_ * \-#,##0.00_ ;_ * "-"??_ ;_ @_ </formatCode>
                <ptCount val="4"/>
                <pt idx="0">
                  <v>900</v>
                </pt>
                <pt idx="1">
                  <v>800</v>
                </pt>
                <pt idx="2">
                  <v>600</v>
                </pt>
                <pt idx="3">
                  <v>500</v>
                </pt>
              </numCache>
            </numRef>
          </val>
          <smooth val="1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1"/>
        <axId val="718162616"/>
        <axId val="35806562"/>
      </lineChart>
      <catAx>
        <axId val="71816261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charset="0"/>
                <a:ea typeface="Agency FB" panose="020B0503020202020204" charset="0"/>
                <a:cs typeface="Agency FB" panose="020B0503020202020204" charset="0"/>
                <a:sym typeface="Agency FB" panose="020B0503020202020204" charset="0"/>
              </a:defRPr>
            </a:pPr>
            <a:r>
              <a:t/>
            </a:r>
          </a:p>
        </txPr>
        <crossAx val="35806562"/>
        <crosses val="autoZero"/>
        <auto val="1"/>
        <lblAlgn val="ctr"/>
        <lblOffset val="100"/>
        <noMultiLvlLbl val="0"/>
      </catAx>
      <valAx>
        <axId val="35806562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_ * #,##0.00_ ;_ * \-#,##0.00_ ;_ * &quot;-&quot;??_ ;_ @_ 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charset="0"/>
                <a:ea typeface="Agency FB" panose="020B0503020202020204" charset="0"/>
                <a:cs typeface="Agency FB" panose="020B0503020202020204" charset="0"/>
                <a:sym typeface="Agency FB" panose="020B0503020202020204" charset="0"/>
              </a:defRPr>
            </a:pPr>
            <a:r>
              <a:t/>
            </a:r>
          </a:p>
        </txPr>
        <crossAx val="718162616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YaHei UI" panose="020B0503020204020204" charset="-122"/>
              <a:ea typeface="Microsoft YaHei UI" panose="020B0503020204020204" charset="-122"/>
              <a:cs typeface="Microsoft YaHei UI" panose="020B0503020204020204" charset="-122"/>
              <a:sym typeface="Microsoft YaHei UI" panose="020B0503020204020204" charset="-122"/>
            </a:defRPr>
          </a:pPr>
          <a:r>
            <a:t/>
          </a:r>
        </a:p>
      </txPr>
    </title>
    <plotArea>
      <layout/>
      <areaChart>
        <grouping val="standard"/>
        <varyColors val="0"/>
        <ser>
          <idx val="0"/>
          <order val="0"/>
          <tx>
            <strRef>
              <f>Sheet1!$X$4</f>
              <strCache>
                <ptCount val="1"/>
                <pt idx="0">
                  <v>Profit Amount</v>
                </pt>
              </strCache>
            </strRef>
          </tx>
          <spPr>
            <a:solidFill xmlns:a="http://schemas.openxmlformats.org/drawingml/2006/main">
              <a:srgbClr val="1E9CE7"/>
            </a:solidFill>
            <a:ln xmlns:a="http://schemas.openxmlformats.org/drawingml/2006/main">
              <a:noFill/>
              <a:prstDash val="solid"/>
            </a:ln>
          </spPr>
          <dLbls>
            <delete val="1"/>
          </dLbls>
          <cat>
            <strRef>
              <f>Sheet1!$T$5:$T$8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Sheet1!$X$5:$X$8</f>
              <numCache>
                <formatCode xml:space="preserve">_ * #,##0.00_ ;_ * \-#,##0.00_ ;_ * "-"??_ ;_ @_ </formatCode>
                <ptCount val="4"/>
                <pt idx="0">
                  <v>5400</v>
                </pt>
                <pt idx="1">
                  <v>4500</v>
                </pt>
                <pt idx="2">
                  <v>6200</v>
                </pt>
                <pt idx="3">
                  <v>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02960606802055"/>
          <y val="0.0797934757099272"/>
          <w val="0.862784438463421"/>
          <h val="0.728561370570289"/>
        </manualLayout>
      </layout>
      <barChart>
        <barDir val="col"/>
        <grouping val="clustered"/>
        <varyColors val="0"/>
        <ser>
          <idx val="0"/>
          <order val="0"/>
          <tx>
            <strRef>
              <f>Sheet1!$C$4</f>
              <strCache>
                <ptCount val="1"/>
                <pt idx="0">
                  <v>Income Amount</v>
                </pt>
              </strCache>
            </strRef>
          </tx>
          <spPr>
            <a:solidFill xmlns:a="http://schemas.openxmlformats.org/drawingml/2006/main">
              <a:srgbClr val="F1A74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cat>
            <strRef>
              <f>Sheet1!$B$5:$B$16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Sheet1!$C$5:$C$16</f>
              <numCache>
                <formatCode xml:space="preserve">_ * #,##0.00_ ;_ * \-#,##0.00_ ;_ * "-"??_ ;_ @_ </formatCode>
                <ptCount val="12"/>
                <pt idx="0">
                  <v>3200</v>
                </pt>
                <pt idx="1">
                  <v>2800</v>
                </pt>
                <pt idx="2">
                  <v>3500</v>
                </pt>
                <pt idx="3">
                  <v>2500</v>
                </pt>
                <pt idx="4">
                  <v>2400</v>
                </pt>
                <pt idx="5">
                  <v>2300</v>
                </pt>
                <pt idx="6">
                  <v>3100</v>
                </pt>
                <pt idx="7">
                  <v>3300</v>
                </pt>
                <pt idx="8">
                  <v>3200</v>
                </pt>
                <pt idx="9">
                  <v>2800</v>
                </pt>
                <pt idx="10">
                  <v>3500</v>
                </pt>
                <pt idx="11">
                  <v>2500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overlap val="-27"/>
        <axId val="810310771"/>
        <axId val="749110073"/>
      </barChart>
      <barChart>
        <barDir val="col"/>
        <grouping val="clustered"/>
        <varyColors val="0"/>
        <ser>
          <idx val="1"/>
          <order val="1"/>
          <tx>
            <strRef>
              <f>Sheet1!$D$4</f>
              <strCache>
                <ptCount val="1"/>
                <pt idx="0">
                  <v>Cost Amount</v>
                </pt>
              </strCache>
            </strRef>
          </tx>
          <spPr>
            <a:solidFill xmlns:a="http://schemas.openxmlformats.org/drawingml/2006/main">
              <a:srgbClr val="F0745E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cat>
            <strRef>
              <f>Sheet1!$B$5:$B$16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Sheet1!$D$5:$D$16</f>
              <numCache>
                <formatCode xml:space="preserve">_ * #,##0.00_ ;_ * \-#,##0.00_ ;_ * "-"??_ ;_ @_ </formatCode>
                <ptCount val="12"/>
                <pt idx="0">
                  <v>1200</v>
                </pt>
                <pt idx="1">
                  <v>900</v>
                </pt>
                <pt idx="2">
                  <v>1100</v>
                </pt>
                <pt idx="3">
                  <v>800</v>
                </pt>
                <pt idx="4">
                  <v>700</v>
                </pt>
                <pt idx="5">
                  <v>400</v>
                </pt>
                <pt idx="6">
                  <v>700</v>
                </pt>
                <pt idx="7">
                  <v>900</v>
                </pt>
                <pt idx="8">
                  <v>1200</v>
                </pt>
                <pt idx="9">
                  <v>600</v>
                </pt>
                <pt idx="10">
                  <v>1400</v>
                </pt>
                <pt idx="11">
                  <v>300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overlap val="-27"/>
        <axId val="829474550"/>
        <axId val="268808059"/>
      </barChart>
      <catAx>
        <axId val="81031077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  <crossAx val="749110073"/>
        <crosses val="autoZero"/>
        <auto val="1"/>
        <lblAlgn val="ctr"/>
        <lblOffset val="100"/>
        <noMultiLvlLbl val="0"/>
      </catAx>
      <valAx>
        <axId val="74911007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_ * #,##0.00_ ;_ * \-#,##0.00_ ;_ * &quot;-&quot;??_ ;_ @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  <crossAx val="810310771"/>
        <crosses val="autoZero"/>
        <crossBetween val="between"/>
      </valAx>
      <catAx>
        <axId val="82947455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  <crossAx val="268808059"/>
        <crosses val="autoZero"/>
        <auto val="1"/>
        <lblAlgn val="ctr"/>
        <lblOffset val="100"/>
        <noMultiLvlLbl val="0"/>
      </catAx>
      <valAx>
        <axId val="268808059"/>
        <scaling>
          <orientation val="minMax"/>
        </scaling>
        <delete val="1"/>
        <axPos val="r"/>
        <numFmt formatCode="_(* #,##0.00_);_(* \(#,##0.00\);_(* &quot;-&quot;??_);_(@_)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  <crossAx val="829474550"/>
        <crosses val="max"/>
        <crossBetween val="between"/>
      </valAx>
    </plotArea>
    <legend>
      <legendPos val="b"/>
      <legendEntry>
        <idx val="0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</legendEntry>
      <legendEntry>
        <idx val="1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</legendEntry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 UI" panose="020B0503020204020204" charset="-122"/>
              <a:ea typeface="Microsoft YaHei UI" panose="020B0503020204020204" charset="-122"/>
              <a:cs typeface="Microsoft YaHei UI" panose="020B0503020204020204" charset="-122"/>
              <a:sym typeface="Microsoft YaHei UI" panose="020B0503020204020204" charset="-122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442222222222222"/>
          <y val="0.006952491309385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YaHei UI" panose="020B0503020204020204" charset="-122"/>
              <a:ea typeface="Microsoft YaHei UI" panose="020B0503020204020204" charset="-122"/>
              <a:cs typeface="Microsoft YaHei UI" panose="020B0503020204020204" charset="-122"/>
              <a:sym typeface="Microsoft YaHei UI" panose="020B0503020204020204" charset="-122"/>
            </a:defRPr>
          </a:pPr>
          <a:r>
            <a:t/>
          </a: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9722222222222"/>
          <y val="0.0973348783314021"/>
          <w val="0.881305555555555"/>
          <h val="0.871842410196987"/>
        </manualLayout>
      </layout>
      <barChart>
        <barDir val="bar"/>
        <grouping val="clustered"/>
        <varyColors val="0"/>
        <ser>
          <idx val="0"/>
          <order val="0"/>
          <tx>
            <strRef>
              <f>Sheet1!$E$4</f>
              <strCache>
                <ptCount val="1"/>
                <pt idx="0">
                  <v>Operating Expense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invertIfNegative val="0"/>
          <pictureOptions>
            <pictureFormat val="stack"/>
          </pictureOptions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zh-CN"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gency FB" panose="020B0503020202020204" charset="0"/>
                    <a:ea typeface="Agency FB" panose="020B0503020202020204" charset="0"/>
                    <a:cs typeface="Agency FB" panose="020B0503020202020204" charset="0"/>
                    <a:sym typeface="Agency FB" panose="020B0503020202020204" charset="0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Sheet1!$B$5:$B$16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Sheet1!$E$5:$E$16</f>
              <numCache>
                <formatCode xml:space="preserve">_ * #,##0.00_ ;_ * \-#,##0.00_ ;_ * "-"??_ ;_ @_ </formatCode>
                <ptCount val="12"/>
                <pt idx="0">
                  <v>200</v>
                </pt>
                <pt idx="1">
                  <v>300</v>
                </pt>
                <pt idx="2">
                  <v>400</v>
                </pt>
                <pt idx="3">
                  <v>200</v>
                </pt>
                <pt idx="4">
                  <v>300</v>
                </pt>
                <pt idx="5">
                  <v>300</v>
                </pt>
                <pt idx="6">
                  <v>200</v>
                </pt>
                <pt idx="7">
                  <v>100</v>
                </pt>
                <pt idx="8">
                  <v>300</v>
                </pt>
                <pt idx="9">
                  <v>200</v>
                </pt>
                <pt idx="10">
                  <v>100</v>
                </pt>
                <pt idx="11">
                  <v>200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46"/>
        <axId val="509262476"/>
        <axId val="239813976"/>
      </barChart>
      <catAx>
        <axId val="509262476"/>
        <scaling>
          <orientation val="maxMin"/>
        </scaling>
        <delete val="0"/>
        <axPos val="l"/>
        <min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inorGridlines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  <crossAx val="239813976"/>
        <crosses val="autoZero"/>
        <auto val="1"/>
        <lblAlgn val="ctr"/>
        <lblOffset val="100"/>
        <noMultiLvlLbl val="0"/>
      </catAx>
      <valAx>
        <axId val="239813976"/>
        <scaling>
          <orientation val="minMax"/>
        </scaling>
        <delete val="1"/>
        <axPos val="t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_ * #,##0.00_ ;_ * \-#,##0.00_ ;_ * &quot;-&quot;??_ ;_ @_ " sourceLinked="1"/>
        <majorTickMark val="out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defRPr>
            </a:pPr>
            <a:r>
              <a:t/>
            </a:r>
          </a:p>
        </txPr>
        <crossAx val="509262476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YaHei UI" panose="020B0503020204020204" charset="-122"/>
              <a:ea typeface="Microsoft YaHei UI" panose="020B0503020204020204" charset="-122"/>
              <a:cs typeface="Microsoft YaHei UI" panose="020B0503020204020204" charset="-122"/>
              <a:sym typeface="Microsoft YaHei UI" panose="020B0503020204020204" charset="-122"/>
            </a:defRPr>
          </a:pPr>
          <a:r>
            <a:t/>
          </a:r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Sheet1!$G$4</f>
              <strCache>
                <ptCount val="1"/>
                <pt idx="0">
                  <v>Profit Margin</v>
                </pt>
              </strCache>
            </strRef>
          </tx>
          <spPr>
            <a:ln xmlns:a="http://schemas.openxmlformats.org/drawingml/2006/main" w="28575" cap="rnd">
              <a:solidFill>
                <a:srgbClr val="1E9CE7"/>
              </a:solidFill>
              <a:prstDash val="solid"/>
              <a:round/>
            </a:ln>
          </spPr>
          <marker>
            <symbol val="circle"/>
            <size val="10"/>
            <spPr>
              <a:solidFill xmlns:a="http://schemas.openxmlformats.org/drawingml/2006/main">
                <a:schemeClr val="bg1">
                  <a:lumMod val="95000"/>
                </a:schemeClr>
              </a:solidFill>
              <a:ln xmlns:a="http://schemas.openxmlformats.org/drawingml/2006/main" w="19050">
                <a:solidFill>
                  <a:srgbClr val="1E9CE7"/>
                </a:solidFill>
                <a:prstDash val="solid"/>
              </a:ln>
            </spPr>
          </marker>
          <dLbls>
            <delete val="1"/>
          </dLbls>
          <cat>
            <strRef>
              <f>Sheet1!$B$5:$B$16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Sheet1!$G$5:$G$16</f>
              <numCache>
                <formatCode>0.00%</formatCode>
                <ptCount val="12"/>
                <pt idx="0">
                  <v>0.5625</v>
                </pt>
                <pt idx="1">
                  <v>0.571428571428571</v>
                </pt>
                <pt idx="2">
                  <v>0.571428571428571</v>
                </pt>
                <pt idx="3">
                  <v>0.6</v>
                </pt>
                <pt idx="4">
                  <v>0.583333333333333</v>
                </pt>
                <pt idx="5">
                  <v>0.695652173913043</v>
                </pt>
                <pt idx="6">
                  <v>0.709677419354839</v>
                </pt>
                <pt idx="7">
                  <v>0.696969696969697</v>
                </pt>
                <pt idx="8">
                  <v>0.53125</v>
                </pt>
                <pt idx="9">
                  <v>0.714285714285714</v>
                </pt>
                <pt idx="10">
                  <v>0.571428571428571</v>
                </pt>
                <pt idx="11">
                  <v>0.8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1"/>
        <axId val="631059492"/>
        <axId val="494319887"/>
      </lineChart>
      <catAx>
        <axId val="63105949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94319887"/>
        <crosses val="autoZero"/>
        <auto val="1"/>
        <lblAlgn val="ctr"/>
        <lblOffset val="100"/>
        <noMultiLvlLbl val="0"/>
      </catAx>
      <valAx>
        <axId val="49431988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631059492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image" Target="/xl/media/image1.png" Id="rId8"/><Relationship Type="http://schemas.openxmlformats.org/officeDocument/2006/relationships/image" Target="/xl/media/image2.png" Id="rId9"/><Relationship Type="http://schemas.openxmlformats.org/officeDocument/2006/relationships/image" Target="/xl/media/image3.png" Id="rId10"/><Relationship Type="http://schemas.openxmlformats.org/officeDocument/2006/relationships/image" Target="/xl/media/image4.png" Id="rId11"/></Relationships>
</file>

<file path=xl/drawings/drawing1.xml><?xml version="1.0" encoding="utf-8"?>
<wsDr xmlns="http://schemas.openxmlformats.org/drawingml/2006/spreadsheetDrawing">
  <twoCellAnchor>
    <from>
      <col>7</col>
      <colOff>53975</colOff>
      <row>6</row>
      <rowOff>44450</rowOff>
    </from>
    <to>
      <col>12</col>
      <colOff>234950</colOff>
      <row>12</row>
      <rowOff>20320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357505</colOff>
      <row>5</row>
      <rowOff>234315</rowOff>
    </from>
    <to>
      <col>17</col>
      <colOff>663575</colOff>
      <row>11</row>
      <rowOff>247650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7</col>
      <colOff>111760</colOff>
      <row>11</row>
      <rowOff>273685</rowOff>
    </from>
    <to>
      <col>12</col>
      <colOff>101600</colOff>
      <row>17</row>
      <rowOff>219710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12</col>
      <colOff>405765</colOff>
      <row>11</row>
      <rowOff>173990</rowOff>
    </from>
    <to>
      <col>18</col>
      <colOff>319405</colOff>
      <row>18</row>
      <rowOff>32385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73025</colOff>
      <row>17</row>
      <rowOff>215265</rowOff>
    </from>
    <to>
      <col>7</col>
      <colOff>128905</colOff>
      <row>26</row>
      <rowOff>120015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7</col>
      <colOff>25400</colOff>
      <row>17</row>
      <rowOff>180975</rowOff>
    </from>
    <to>
      <col>13</col>
      <colOff>25400</colOff>
      <row>26</row>
      <rowOff>92075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12</col>
      <colOff>682625</colOff>
      <row>18</row>
      <rowOff>34290</rowOff>
    </from>
    <to>
      <col>18</col>
      <colOff>196850</colOff>
      <row>25</row>
      <rowOff>238125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 editAs="oneCell">
    <from>
      <col>7</col>
      <colOff>123190</colOff>
      <row>3</row>
      <rowOff>180340</rowOff>
    </from>
    <to>
      <col>7</col>
      <colOff>628650</colOff>
      <row>4</row>
      <rowOff>259715</rowOff>
    </to>
    <pic>
      <nvPicPr>
        <cNvPr id="2" name="图片 1" descr="333437323832363b333530343338333bcad5c8e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276340" y="1233170"/>
          <a:ext cx="505460" cy="5105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751205</colOff>
      <row>3</row>
      <rowOff>266700</rowOff>
    </from>
    <to>
      <col>10</col>
      <colOff>381000</colOff>
      <row>4</row>
      <rowOff>229870</rowOff>
    </to>
    <pic>
      <nvPicPr>
        <cNvPr id="18" name="图片 17" descr="343435383231393b333638303330393bcad5c8e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8428355" y="1319530"/>
          <a:ext cx="391795" cy="3943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428625</colOff>
      <row>3</row>
      <rowOff>243840</rowOff>
    </from>
    <to>
      <col>13</col>
      <colOff>142875</colOff>
      <row>4</row>
      <rowOff>291465</rowOff>
    </to>
    <pic>
      <nvPicPr>
        <cNvPr id="19" name="图片 18" descr="333437323831323b333530343330383bc0fbc8f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0391775" y="1296670"/>
          <a:ext cx="476250" cy="4787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238125</colOff>
      <row>3</row>
      <rowOff>210185</rowOff>
    </from>
    <to>
      <col>16</col>
      <colOff>76200</colOff>
      <row>4</row>
      <rowOff>307975</rowOff>
    </to>
    <pic>
      <nvPicPr>
        <cNvPr id="25" name="图片 24" descr="31393935333436353b31393936333630373bd3aacffacafdbeddcdbcb1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2487275" y="1263015"/>
          <a:ext cx="523875" cy="5289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tabSelected="1" workbookViewId="0">
      <selection activeCell="T13" sqref="T13"/>
    </sheetView>
  </sheetViews>
  <sheetFormatPr baseColWidth="8" defaultColWidth="9" defaultRowHeight="24.95" customHeight="1"/>
  <cols>
    <col width="2.875" customWidth="1" style="2" min="1" max="1"/>
    <col width="9.75" customWidth="1" style="2" min="2" max="2"/>
    <col width="13.625" customWidth="1" style="18" min="3" max="6"/>
    <col width="13.625" customWidth="1" style="4" min="7" max="7"/>
    <col width="10" customWidth="1" style="2" min="8" max="15"/>
    <col width="9" customWidth="1" style="2" min="16" max="18"/>
    <col width="4.875" customWidth="1" style="2" min="19" max="19"/>
    <col width="13.375" customWidth="1" style="1" min="20" max="22"/>
    <col width="13.375" customWidth="1" style="2" min="23" max="24"/>
    <col width="9" customWidth="1" style="2" min="25" max="16384"/>
  </cols>
  <sheetData>
    <row r="1" ht="15.95" customHeight="1" s="19"/>
    <row r="2" ht="48.95" customHeight="1" s="19">
      <c r="B2" s="5" t="inlineStr">
        <is>
          <t>Financial Statement - Income Expense Details</t>
        </is>
      </c>
    </row>
    <row r="3" ht="18" customHeight="1" s="19"/>
    <row r="4" ht="33.95" customHeight="1" s="19">
      <c r="B4" s="6" t="inlineStr">
        <is>
          <t>Month</t>
        </is>
      </c>
      <c r="C4" s="20" t="inlineStr">
        <is>
          <t>Income Amount</t>
        </is>
      </c>
      <c r="D4" s="20" t="inlineStr">
        <is>
          <t>Cost Amount</t>
        </is>
      </c>
      <c r="E4" s="20" t="inlineStr">
        <is>
          <t>Operating Expense</t>
        </is>
      </c>
      <c r="F4" s="20" t="inlineStr">
        <is>
          <t>Profit Amount</t>
        </is>
      </c>
      <c r="G4" s="8" t="inlineStr">
        <is>
          <t>Profit Margin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T4" s="20" t="inlineStr">
        <is>
          <t>Quarter</t>
        </is>
      </c>
      <c r="U4" s="20" t="inlineStr">
        <is>
          <t>Income Amount</t>
        </is>
      </c>
      <c r="V4" s="20" t="inlineStr">
        <is>
          <t>Expense Amount</t>
        </is>
      </c>
      <c r="W4" s="20" t="inlineStr">
        <is>
          <t>Operating Expense</t>
        </is>
      </c>
      <c r="X4" s="20" t="inlineStr">
        <is>
          <t>Profit Amount</t>
        </is>
      </c>
    </row>
    <row r="5" customFormat="1" s="1">
      <c r="B5" s="16" t="inlineStr">
        <is>
          <t>Jan</t>
        </is>
      </c>
      <c r="C5" s="21" t="n">
        <v>3200</v>
      </c>
      <c r="D5" s="21" t="n">
        <v>1200</v>
      </c>
      <c r="E5" s="21" t="n">
        <v>200</v>
      </c>
      <c r="F5" s="21">
        <f>C5-D5-E5</f>
        <v/>
      </c>
      <c r="G5" s="11">
        <f>F5/C5</f>
        <v/>
      </c>
      <c r="T5" s="16" t="inlineStr">
        <is>
          <t>Q1</t>
        </is>
      </c>
      <c r="U5" s="21">
        <f>C5+C6+C7</f>
        <v/>
      </c>
      <c r="V5" s="21">
        <f>D5+D6+D7</f>
        <v/>
      </c>
      <c r="W5" s="21">
        <f>E5+E6+E7</f>
        <v/>
      </c>
      <c r="X5" s="21">
        <f>F5+F6+F7</f>
        <v/>
      </c>
    </row>
    <row r="6" customFormat="1" s="1">
      <c r="B6" s="17" t="inlineStr">
        <is>
          <t>Feb</t>
        </is>
      </c>
      <c r="C6" s="22" t="n">
        <v>2800</v>
      </c>
      <c r="D6" s="22" t="n">
        <v>900</v>
      </c>
      <c r="E6" s="22" t="n">
        <v>300</v>
      </c>
      <c r="F6" s="21">
        <f>C6-D6-E6</f>
        <v/>
      </c>
      <c r="G6" s="11">
        <f>F6/C6</f>
        <v/>
      </c>
      <c r="T6" s="17" t="inlineStr">
        <is>
          <t>Q2</t>
        </is>
      </c>
      <c r="U6" s="22">
        <f>C8+C9+C10</f>
        <v/>
      </c>
      <c r="V6" s="22">
        <f>D8+D9+D10</f>
        <v/>
      </c>
      <c r="W6" s="22">
        <f>E8+E9+E10</f>
        <v/>
      </c>
      <c r="X6" s="22">
        <f>F8+F9+F10</f>
        <v/>
      </c>
    </row>
    <row r="7" customFormat="1" s="1">
      <c r="B7" s="17" t="inlineStr">
        <is>
          <t>Mar</t>
        </is>
      </c>
      <c r="C7" s="22" t="n">
        <v>3500</v>
      </c>
      <c r="D7" s="22" t="n">
        <v>1100</v>
      </c>
      <c r="E7" s="22" t="n">
        <v>400</v>
      </c>
      <c r="F7" s="21">
        <f>C7-D7-E7</f>
        <v/>
      </c>
      <c r="G7" s="11">
        <f>F7/C7</f>
        <v/>
      </c>
      <c r="T7" s="17" t="inlineStr">
        <is>
          <t>Q3</t>
        </is>
      </c>
      <c r="U7" s="22">
        <f>C11+C12+C13</f>
        <v/>
      </c>
      <c r="V7" s="22">
        <f>D11+D12+D13</f>
        <v/>
      </c>
      <c r="W7" s="22">
        <f>E11+E12+E13</f>
        <v/>
      </c>
      <c r="X7" s="22">
        <f>F11+F12+F13</f>
        <v/>
      </c>
    </row>
    <row r="8" customFormat="1" s="1">
      <c r="B8" s="17" t="inlineStr">
        <is>
          <t>Apr</t>
        </is>
      </c>
      <c r="C8" s="22" t="n">
        <v>2500</v>
      </c>
      <c r="D8" s="22" t="n">
        <v>800</v>
      </c>
      <c r="E8" s="22" t="n">
        <v>200</v>
      </c>
      <c r="F8" s="21">
        <f>C8-D8-E8</f>
        <v/>
      </c>
      <c r="G8" s="11">
        <f>F8/C8</f>
        <v/>
      </c>
      <c r="T8" s="17" t="inlineStr">
        <is>
          <t>Q4</t>
        </is>
      </c>
      <c r="U8" s="22">
        <f>C14+C15+C16</f>
        <v/>
      </c>
      <c r="V8" s="22">
        <f>D14+D15+D16</f>
        <v/>
      </c>
      <c r="W8" s="22">
        <f>E14+E15+E16</f>
        <v/>
      </c>
      <c r="X8" s="22">
        <f>F14+F15+F16</f>
        <v/>
      </c>
    </row>
    <row r="9" customFormat="1" s="1">
      <c r="B9" s="17" t="inlineStr">
        <is>
          <t>May</t>
        </is>
      </c>
      <c r="C9" s="22" t="n">
        <v>2400</v>
      </c>
      <c r="D9" s="22" t="n">
        <v>700</v>
      </c>
      <c r="E9" s="22" t="n">
        <v>300</v>
      </c>
      <c r="F9" s="21">
        <f>C9-D9-E9</f>
        <v/>
      </c>
      <c r="G9" s="11">
        <f>F9/C9</f>
        <v/>
      </c>
    </row>
    <row r="10" customFormat="1" s="1">
      <c r="B10" s="17" t="inlineStr">
        <is>
          <t>Jun</t>
        </is>
      </c>
      <c r="C10" s="22" t="n">
        <v>2300</v>
      </c>
      <c r="D10" s="22" t="n">
        <v>400</v>
      </c>
      <c r="E10" s="22" t="n">
        <v>300</v>
      </c>
      <c r="F10" s="21">
        <f>C10-D10-E10</f>
        <v/>
      </c>
      <c r="G10" s="11">
        <f>F10/C10</f>
        <v/>
      </c>
    </row>
    <row r="11" customFormat="1" s="1">
      <c r="B11" s="17" t="inlineStr">
        <is>
          <t>Jul</t>
        </is>
      </c>
      <c r="C11" s="22" t="n">
        <v>3100</v>
      </c>
      <c r="D11" s="22" t="n">
        <v>700</v>
      </c>
      <c r="E11" s="22" t="n">
        <v>200</v>
      </c>
      <c r="F11" s="21">
        <f>C11-D11-E11</f>
        <v/>
      </c>
      <c r="G11" s="11">
        <f>F11/C11</f>
        <v/>
      </c>
    </row>
    <row r="12" customFormat="1" s="1">
      <c r="B12" s="17" t="inlineStr">
        <is>
          <t>Aug</t>
        </is>
      </c>
      <c r="C12" s="22" t="n">
        <v>3300</v>
      </c>
      <c r="D12" s="22" t="n">
        <v>900</v>
      </c>
      <c r="E12" s="22" t="n">
        <v>100</v>
      </c>
      <c r="F12" s="21">
        <f>C12-D12-E12</f>
        <v/>
      </c>
      <c r="G12" s="11">
        <f>F12/C12</f>
        <v/>
      </c>
    </row>
    <row r="13" customFormat="1" s="1">
      <c r="B13" s="17" t="inlineStr">
        <is>
          <t>Sep</t>
        </is>
      </c>
      <c r="C13" s="21" t="n">
        <v>3200</v>
      </c>
      <c r="D13" s="22" t="n">
        <v>1200</v>
      </c>
      <c r="E13" s="22" t="n">
        <v>300</v>
      </c>
      <c r="F13" s="21">
        <f>C13-D13-E13</f>
        <v/>
      </c>
      <c r="G13" s="11">
        <f>F13/C13</f>
        <v/>
      </c>
    </row>
    <row r="14" customFormat="1" s="1">
      <c r="B14" s="17" t="inlineStr">
        <is>
          <t>Oct</t>
        </is>
      </c>
      <c r="C14" s="22" t="n">
        <v>2800</v>
      </c>
      <c r="D14" s="22" t="n">
        <v>600</v>
      </c>
      <c r="E14" s="22" t="n">
        <v>200</v>
      </c>
      <c r="F14" s="21">
        <f>C14-D14-E14</f>
        <v/>
      </c>
      <c r="G14" s="11">
        <f>F14/C14</f>
        <v/>
      </c>
    </row>
    <row r="15" customFormat="1" s="1">
      <c r="B15" s="17" t="inlineStr">
        <is>
          <t>Nov</t>
        </is>
      </c>
      <c r="C15" s="22" t="n">
        <v>3500</v>
      </c>
      <c r="D15" s="22" t="n">
        <v>1400</v>
      </c>
      <c r="E15" s="22" t="n">
        <v>100</v>
      </c>
      <c r="F15" s="21">
        <f>C15-D15-E15</f>
        <v/>
      </c>
      <c r="G15" s="11">
        <f>F15/C15</f>
        <v/>
      </c>
    </row>
    <row r="16" customFormat="1" s="1">
      <c r="B16" s="17" t="inlineStr">
        <is>
          <t>Dec</t>
        </is>
      </c>
      <c r="C16" s="22" t="n">
        <v>2500</v>
      </c>
      <c r="D16" s="22" t="n">
        <v>300</v>
      </c>
      <c r="E16" s="22" t="n">
        <v>200</v>
      </c>
      <c r="F16" s="21">
        <f>C16-D16-E16</f>
        <v/>
      </c>
      <c r="G16" s="11">
        <f>F16/C16</f>
        <v/>
      </c>
    </row>
    <row r="17" customFormat="1" s="1">
      <c r="B17" s="17" t="inlineStr">
        <is>
          <t>Total</t>
        </is>
      </c>
      <c r="C17" s="22">
        <f>SUM(C5:C16)</f>
        <v/>
      </c>
      <c r="D17" s="22">
        <f>SUM(D5:D16)</f>
        <v/>
      </c>
      <c r="E17" s="22">
        <f>SUM(E5:E16)</f>
        <v/>
      </c>
      <c r="F17" s="22">
        <f>SUM(F5:F16)</f>
        <v/>
      </c>
      <c r="G17" s="11">
        <f>F17/C17</f>
        <v/>
      </c>
    </row>
    <row r="18" customFormat="1" s="1">
      <c r="C18" s="23" t="n"/>
      <c r="D18" s="23" t="n"/>
      <c r="E18" s="23" t="n"/>
      <c r="F18" s="23" t="n"/>
      <c r="G18" s="15" t="n"/>
    </row>
  </sheetData>
  <mergeCells count="1">
    <mergeCell ref="B2:R2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2021-09-06T13:49:00Z</dcterms:created>
  <dcterms:modified xmlns:dcterms="http://purl.org/dc/terms/" xmlns:xsi="http://www.w3.org/2001/XMLSchema-instance" xsi:type="dcterms:W3CDTF">2026-05-06T11:00:44Z</dcterms:modified>
  <cp:lastModifiedBy>Liu Xi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B8ECD76FD6E94D588BD034A6F1F1084D</vt:lpwstr>
  </property>
  <property name="KSOProductBuildVer" fmtid="{D5CDD505-2E9C-101B-9397-08002B2CF9AE}" pid="3">
    <vt:lpwstr xmlns:vt="http://schemas.openxmlformats.org/officeDocument/2006/docPropsVTypes">2052-10.1.0.7698</vt:lpwstr>
  </property>
  <property name="KSOTemplateUUID" fmtid="{D5CDD505-2E9C-101B-9397-08002B2CF9AE}" pid="4">
    <vt:lpwstr xmlns:vt="http://schemas.openxmlformats.org/officeDocument/2006/docPropsVTypes">v1.0_mb_1lRljR4DnttDgB2O7a7zmA==</vt:lpwstr>
  </property>
  <property name="KSORubyTemplateID" linkTarget="0" fmtid="{D5CDD505-2E9C-101B-9397-08002B2CF9AE}" pid="5">
    <vt:lpwstr xmlns:vt="http://schemas.openxmlformats.org/officeDocument/2006/docPropsVTypes"/>
  </property>
</Properties>
</file>