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u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0" borderId="0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Payroll Accrual - December 20-31, 2024 Stub Period</t>
        </is>
      </c>
    </row>
    <row r="2">
      <c r="A2" s="2" t="inlineStr">
        <is>
          <t>Sterling, Marsh &amp; Associates LLP. Bi-weekly Friday paydays ended Dec 20 (period through Dec 19).</t>
        </is>
      </c>
    </row>
    <row r="3">
      <c r="A3" s="2" t="inlineStr">
        <is>
          <t>Stub period Dec 20-31 = 12 calendar days of the next biweekly cycle (14 days). Proration factor 12/14.</t>
        </is>
      </c>
    </row>
    <row r="4">
      <c r="A4" s="2" t="inlineStr">
        <is>
          <t>Health insurance NOT prorated (monthly billing already covered through Dec).</t>
        </is>
      </c>
    </row>
    <row r="5"/>
    <row r="6">
      <c r="A6" s="3" t="inlineStr">
        <is>
          <t>Methodology by accrual component</t>
        </is>
      </c>
    </row>
    <row r="7">
      <c r="A7" s="4" t="inlineStr">
        <is>
          <t>Component</t>
        </is>
      </c>
      <c r="B7" s="4" t="inlineStr">
        <is>
          <t>Formula</t>
        </is>
      </c>
      <c r="C7" s="4" t="inlineStr">
        <is>
          <t>GL Account</t>
        </is>
      </c>
    </row>
    <row r="8">
      <c r="A8" s="5" t="inlineStr">
        <is>
          <t>Regular wages</t>
        </is>
      </c>
      <c r="B8" s="5" t="inlineStr">
        <is>
          <t>12/14 × (annual salary / 26)</t>
        </is>
      </c>
      <c r="C8" s="5" t="inlineStr">
        <is>
          <t>acc_000035-040 by role / 6000-6050</t>
        </is>
      </c>
    </row>
    <row r="9">
      <c r="A9" s="5" t="inlineStr">
        <is>
          <t>Employer SS (6.2%)</t>
        </is>
      </c>
      <c r="B9" s="5" t="inlineStr">
        <is>
          <t>6.2% × accrued wages (subject to $168,600 YTD cap)</t>
        </is>
      </c>
      <c r="C9" s="5" t="inlineStr">
        <is>
          <t>acc_000041 / 6100 Employer Payroll Taxes</t>
        </is>
      </c>
    </row>
    <row r="10">
      <c r="A10" s="5" t="inlineStr">
        <is>
          <t>Employer Medicare (1.45%)</t>
        </is>
      </c>
      <c r="B10" s="5" t="inlineStr">
        <is>
          <t>1.45% × accrued wages (no cap)</t>
        </is>
      </c>
      <c r="C10" s="5" t="inlineStr">
        <is>
          <t>acc_000041 / 6100 Employer Payroll Taxes</t>
        </is>
      </c>
    </row>
    <row r="11">
      <c r="A11" s="5" t="inlineStr">
        <is>
          <t>Employer FUTA</t>
        </is>
      </c>
      <c r="B11" s="5" t="inlineStr">
        <is>
          <t>0 (all employees over $7K wage base by Dec)</t>
        </is>
      </c>
      <c r="C11" s="5" t="inlineStr">
        <is>
          <t>acc_000041 / 6100 Employer Payroll Taxes</t>
        </is>
      </c>
    </row>
    <row r="12">
      <c r="A12" s="5" t="inlineStr">
        <is>
          <t>Employer SUTA</t>
        </is>
      </c>
      <c r="B12" s="5" t="inlineStr">
        <is>
          <t>0 (all employees over $10K wage base by Dec)</t>
        </is>
      </c>
      <c r="C12" s="5" t="inlineStr">
        <is>
          <t>acc_000041 / 6100 Employer Payroll Taxes</t>
        </is>
      </c>
    </row>
    <row r="13">
      <c r="A13" s="5" t="inlineStr">
        <is>
          <t>Workers compensation (0.6%)</t>
        </is>
      </c>
      <c r="B13" s="5" t="inlineStr">
        <is>
          <t>0.6% × accrued wages</t>
        </is>
      </c>
      <c r="C13" s="5" t="inlineStr">
        <is>
          <t>acc_000041 / 6100 Employer Payroll Taxes</t>
        </is>
      </c>
    </row>
    <row r="14">
      <c r="A14" s="5" t="inlineStr">
        <is>
          <t>Employer 401(k) Safe Harbor (3%)</t>
        </is>
      </c>
      <c r="B14" s="5" t="inlineStr">
        <is>
          <t>3% × accrued wages (non-elective)</t>
        </is>
      </c>
      <c r="C14" s="5" t="inlineStr">
        <is>
          <t>acc_000043 / 6120 401(k) Employer Match</t>
        </is>
      </c>
    </row>
    <row r="15">
      <c r="A15" s="5" t="inlineStr">
        <is>
          <t>Health insurance employer share</t>
        </is>
      </c>
      <c r="B15" s="5" t="inlineStr">
        <is>
          <t>Not prorated; monthly Dec coverage paid</t>
        </is>
      </c>
      <c r="C15" s="5" t="inlineStr">
        <is>
          <t>No accrual</t>
        </is>
      </c>
    </row>
    <row r="16">
      <c r="A16" s="5" t="inlineStr">
        <is>
          <t>Employee withholdings</t>
        </is>
      </c>
      <c r="B16" s="5" t="inlineStr">
        <is>
          <t>Not accrued (becomes payable at Jan 3 payday)</t>
        </is>
      </c>
      <c r="C16" s="5" t="inlineStr">
        <is>
          <t>No accrual</t>
        </is>
      </c>
    </row>
    <row r="17"/>
    <row r="18"/>
    <row r="19">
      <c r="A19" s="3" t="inlineStr">
        <is>
          <t>Per-employee accrual detail</t>
        </is>
      </c>
    </row>
    <row r="20">
      <c r="A20" s="6" t="inlineStr">
        <is>
          <t>Employee</t>
        </is>
      </c>
      <c r="B20" s="6" t="inlineStr">
        <is>
          <t>Name</t>
        </is>
      </c>
      <c r="C20" s="6" t="inlineStr">
        <is>
          <t>Role</t>
        </is>
      </c>
      <c r="D20" s="6" t="inlineStr">
        <is>
          <t>Annual Salary</t>
        </is>
      </c>
      <c r="E20" s="6" t="inlineStr">
        <is>
          <t>Bi-weekly Gross</t>
        </is>
      </c>
      <c r="F20" s="6" t="inlineStr">
        <is>
          <t>Accrued Wages</t>
        </is>
      </c>
      <c r="G20" s="6" t="inlineStr">
        <is>
          <t>ER SS</t>
        </is>
      </c>
      <c r="H20" s="6" t="inlineStr">
        <is>
          <t>ER Medicare</t>
        </is>
      </c>
      <c r="I20" s="6" t="inlineStr">
        <is>
          <t>ER WC</t>
        </is>
      </c>
      <c r="J20" s="6" t="inlineStr">
        <is>
          <t>ER 401(k)</t>
        </is>
      </c>
      <c r="K20" s="6" t="inlineStr">
        <is>
          <t>Total Accrual</t>
        </is>
      </c>
    </row>
    <row r="21">
      <c r="A21" s="5" t="inlineStr">
        <is>
          <t>EMP-009</t>
        </is>
      </c>
      <c r="B21" s="5" t="inlineStr">
        <is>
          <t>Nathan Brooks</t>
        </is>
      </c>
      <c r="C21" s="5" t="inlineStr">
        <is>
          <t>Associate</t>
        </is>
      </c>
      <c r="D21" s="7" t="n">
        <v>185000</v>
      </c>
      <c r="E21" s="7" t="n">
        <v>7115.38</v>
      </c>
      <c r="F21" s="7" t="n">
        <v>6098.9</v>
      </c>
      <c r="G21" s="7" t="n">
        <v>0</v>
      </c>
      <c r="H21" s="7" t="n">
        <v>88.43000000000001</v>
      </c>
      <c r="I21" s="7" t="n">
        <v>36.59</v>
      </c>
      <c r="J21" s="7" t="n">
        <v>182.97</v>
      </c>
      <c r="K21" s="7" t="n">
        <v>6406.89</v>
      </c>
    </row>
    <row r="22">
      <c r="A22" s="5" t="inlineStr">
        <is>
          <t>EMP-010</t>
        </is>
      </c>
      <c r="B22" s="5" t="inlineStr">
        <is>
          <t>Aiden Park</t>
        </is>
      </c>
      <c r="C22" s="5" t="inlineStr">
        <is>
          <t>Associate</t>
        </is>
      </c>
      <c r="D22" s="7" t="n">
        <v>172500</v>
      </c>
      <c r="E22" s="7" t="n">
        <v>6634.62</v>
      </c>
      <c r="F22" s="7" t="n">
        <v>5686.81</v>
      </c>
      <c r="G22" s="7" t="n">
        <v>0</v>
      </c>
      <c r="H22" s="7" t="n">
        <v>82.45999999999999</v>
      </c>
      <c r="I22" s="7" t="n">
        <v>34.12</v>
      </c>
      <c r="J22" s="7" t="n">
        <v>170.6</v>
      </c>
      <c r="K22" s="7" t="n">
        <v>5973.99</v>
      </c>
    </row>
    <row r="23">
      <c r="A23" s="5" t="inlineStr">
        <is>
          <t>EMP-011</t>
        </is>
      </c>
      <c r="B23" s="5" t="inlineStr">
        <is>
          <t>Maya Reyes</t>
        </is>
      </c>
      <c r="C23" s="5" t="inlineStr">
        <is>
          <t>Associate</t>
        </is>
      </c>
      <c r="D23" s="7" t="n">
        <v>160000</v>
      </c>
      <c r="E23" s="7" t="n">
        <v>6153.85</v>
      </c>
      <c r="F23" s="7" t="n">
        <v>5274.73</v>
      </c>
      <c r="G23" s="7" t="n">
        <v>0</v>
      </c>
      <c r="H23" s="7" t="n">
        <v>76.48</v>
      </c>
      <c r="I23" s="7" t="n">
        <v>31.65</v>
      </c>
      <c r="J23" s="7" t="n">
        <v>158.24</v>
      </c>
      <c r="K23" s="7" t="n">
        <v>5541.1</v>
      </c>
    </row>
    <row r="24">
      <c r="A24" s="5" t="inlineStr">
        <is>
          <t>EMP-012</t>
        </is>
      </c>
      <c r="B24" s="5" t="inlineStr">
        <is>
          <t>Tomas Aguilar</t>
        </is>
      </c>
      <c r="C24" s="5" t="inlineStr">
        <is>
          <t>Associate</t>
        </is>
      </c>
      <c r="D24" s="7" t="n">
        <v>147500</v>
      </c>
      <c r="E24" s="7" t="n">
        <v>5673.08</v>
      </c>
      <c r="F24" s="7" t="n">
        <v>4862.64</v>
      </c>
      <c r="G24" s="7" t="n">
        <v>210.8</v>
      </c>
      <c r="H24" s="7" t="n">
        <v>70.51000000000001</v>
      </c>
      <c r="I24" s="7" t="n">
        <v>29.18</v>
      </c>
      <c r="J24" s="7" t="n">
        <v>145.88</v>
      </c>
      <c r="K24" s="7" t="n">
        <v>5319.01</v>
      </c>
    </row>
    <row r="25">
      <c r="A25" s="5" t="inlineStr">
        <is>
          <t>EMP-013</t>
        </is>
      </c>
      <c r="B25" s="5" t="inlineStr">
        <is>
          <t>Hannah Whitfield</t>
        </is>
      </c>
      <c r="C25" s="5" t="inlineStr">
        <is>
          <t>Associate</t>
        </is>
      </c>
      <c r="D25" s="7" t="n">
        <v>135000</v>
      </c>
      <c r="E25" s="7" t="n">
        <v>5192.31</v>
      </c>
      <c r="F25" s="7" t="n">
        <v>4450.55</v>
      </c>
      <c r="G25" s="7" t="n">
        <v>275.93</v>
      </c>
      <c r="H25" s="7" t="n">
        <v>64.53</v>
      </c>
      <c r="I25" s="7" t="n">
        <v>26.7</v>
      </c>
      <c r="J25" s="7" t="n">
        <v>133.52</v>
      </c>
      <c r="K25" s="7" t="n">
        <v>4951.23</v>
      </c>
    </row>
    <row r="26">
      <c r="A26" s="5" t="inlineStr">
        <is>
          <t>EMP-014</t>
        </is>
      </c>
      <c r="B26" s="5" t="inlineStr">
        <is>
          <t>Catherine Mbeki</t>
        </is>
      </c>
      <c r="C26" s="5" t="inlineStr">
        <is>
          <t>Of-Counsel</t>
        </is>
      </c>
      <c r="D26" s="7" t="n">
        <v>215000</v>
      </c>
      <c r="E26" s="7" t="n">
        <v>8269.23</v>
      </c>
      <c r="F26" s="7" t="n">
        <v>7087.91</v>
      </c>
      <c r="G26" s="7" t="n">
        <v>0</v>
      </c>
      <c r="H26" s="7" t="n">
        <v>102.77</v>
      </c>
      <c r="I26" s="7" t="n">
        <v>42.53</v>
      </c>
      <c r="J26" s="7" t="n">
        <v>212.64</v>
      </c>
      <c r="K26" s="7" t="n">
        <v>7445.85</v>
      </c>
    </row>
    <row r="27">
      <c r="A27" s="5" t="inlineStr">
        <is>
          <t>EMP-015</t>
        </is>
      </c>
      <c r="B27" s="5" t="inlineStr">
        <is>
          <t>Frederick Wagner</t>
        </is>
      </c>
      <c r="C27" s="5" t="inlineStr">
        <is>
          <t>Of-Counsel</t>
        </is>
      </c>
      <c r="D27" s="7" t="n">
        <v>245000</v>
      </c>
      <c r="E27" s="7" t="n">
        <v>9423.08</v>
      </c>
      <c r="F27" s="7" t="n">
        <v>8076.92</v>
      </c>
      <c r="G27" s="7" t="n">
        <v>0</v>
      </c>
      <c r="H27" s="7" t="n">
        <v>117.12</v>
      </c>
      <c r="I27" s="7" t="n">
        <v>48.46</v>
      </c>
      <c r="J27" s="7" t="n">
        <v>242.31</v>
      </c>
      <c r="K27" s="7" t="n">
        <v>8484.809999999999</v>
      </c>
    </row>
    <row r="28">
      <c r="A28" s="5" t="inlineStr">
        <is>
          <t>EMP-016</t>
        </is>
      </c>
      <c r="B28" s="5" t="inlineStr">
        <is>
          <t>Rebecca Tanaka</t>
        </is>
      </c>
      <c r="C28" s="5" t="inlineStr">
        <is>
          <t>Paralegal</t>
        </is>
      </c>
      <c r="D28" s="7" t="n">
        <v>92000</v>
      </c>
      <c r="E28" s="7" t="n">
        <v>3538.46</v>
      </c>
      <c r="F28" s="7" t="n">
        <v>3032.97</v>
      </c>
      <c r="G28" s="7" t="n">
        <v>188.04</v>
      </c>
      <c r="H28" s="7" t="n">
        <v>43.98</v>
      </c>
      <c r="I28" s="7" t="n">
        <v>18.2</v>
      </c>
      <c r="J28" s="7" t="n">
        <v>90.98999999999999</v>
      </c>
      <c r="K28" s="7" t="n">
        <v>3374.18</v>
      </c>
    </row>
    <row r="29">
      <c r="A29" s="5" t="inlineStr">
        <is>
          <t>EMP-017</t>
        </is>
      </c>
      <c r="B29" s="5" t="inlineStr">
        <is>
          <t>Leon Beaumont</t>
        </is>
      </c>
      <c r="C29" s="5" t="inlineStr">
        <is>
          <t>Paralegal</t>
        </is>
      </c>
      <c r="D29" s="7" t="n">
        <v>85000</v>
      </c>
      <c r="E29" s="7" t="n">
        <v>3269.23</v>
      </c>
      <c r="F29" s="7" t="n">
        <v>2802.2</v>
      </c>
      <c r="G29" s="7" t="n">
        <v>173.74</v>
      </c>
      <c r="H29" s="7" t="n">
        <v>40.63</v>
      </c>
      <c r="I29" s="7" t="n">
        <v>16.81</v>
      </c>
      <c r="J29" s="7" t="n">
        <v>84.06999999999999</v>
      </c>
      <c r="K29" s="7" t="n">
        <v>3117.45</v>
      </c>
    </row>
    <row r="30">
      <c r="A30" s="5" t="inlineStr">
        <is>
          <t>EMP-018</t>
        </is>
      </c>
      <c r="B30" s="5" t="inlineStr">
        <is>
          <t>Sofia Delgado</t>
        </is>
      </c>
      <c r="C30" s="5" t="inlineStr">
        <is>
          <t>Paralegal</t>
        </is>
      </c>
      <c r="D30" s="7" t="n">
        <v>78000</v>
      </c>
      <c r="E30" s="7" t="n">
        <v>3000</v>
      </c>
      <c r="F30" s="7" t="n">
        <v>2571.43</v>
      </c>
      <c r="G30" s="7" t="n">
        <v>159.43</v>
      </c>
      <c r="H30" s="7" t="n">
        <v>37.29</v>
      </c>
      <c r="I30" s="7" t="n">
        <v>15.43</v>
      </c>
      <c r="J30" s="7" t="n">
        <v>77.14</v>
      </c>
      <c r="K30" s="7" t="n">
        <v>2860.72</v>
      </c>
    </row>
    <row r="31">
      <c r="A31" s="5" t="inlineStr">
        <is>
          <t>EMP-019</t>
        </is>
      </c>
      <c r="B31" s="5" t="inlineStr">
        <is>
          <t>Tasha Williams</t>
        </is>
      </c>
      <c r="C31" s="5" t="inlineStr">
        <is>
          <t>Legal Assistant</t>
        </is>
      </c>
      <c r="D31" s="7" t="n">
        <v>68000</v>
      </c>
      <c r="E31" s="7" t="n">
        <v>2615.38</v>
      </c>
      <c r="F31" s="7" t="n">
        <v>2241.76</v>
      </c>
      <c r="G31" s="7" t="n">
        <v>138.99</v>
      </c>
      <c r="H31" s="7" t="n">
        <v>32.51</v>
      </c>
      <c r="I31" s="7" t="n">
        <v>13.45</v>
      </c>
      <c r="J31" s="7" t="n">
        <v>67.25</v>
      </c>
      <c r="K31" s="7" t="n">
        <v>2493.96</v>
      </c>
    </row>
    <row r="32">
      <c r="A32" s="5" t="inlineStr">
        <is>
          <t>EMP-020</t>
        </is>
      </c>
      <c r="B32" s="5" t="inlineStr">
        <is>
          <t>Jenna Foster</t>
        </is>
      </c>
      <c r="C32" s="5" t="inlineStr">
        <is>
          <t>Legal Assistant</t>
        </is>
      </c>
      <c r="D32" s="7" t="n">
        <v>64500</v>
      </c>
      <c r="E32" s="7" t="n">
        <v>2480.77</v>
      </c>
      <c r="F32" s="7" t="n">
        <v>2126.37</v>
      </c>
      <c r="G32" s="7" t="n">
        <v>131.83</v>
      </c>
      <c r="H32" s="7" t="n">
        <v>30.83</v>
      </c>
      <c r="I32" s="7" t="n">
        <v>12.76</v>
      </c>
      <c r="J32" s="7" t="n">
        <v>63.79</v>
      </c>
      <c r="K32" s="7" t="n">
        <v>2365.58</v>
      </c>
    </row>
    <row r="33">
      <c r="A33" s="5" t="inlineStr">
        <is>
          <t>EMP-021</t>
        </is>
      </c>
      <c r="B33" s="5" t="inlineStr">
        <is>
          <t>Maria Iglesias</t>
        </is>
      </c>
      <c r="C33" s="5" t="inlineStr">
        <is>
          <t>Legal Assistant</t>
        </is>
      </c>
      <c r="D33" s="7" t="n">
        <v>61000</v>
      </c>
      <c r="E33" s="7" t="n">
        <v>2346.15</v>
      </c>
      <c r="F33" s="7" t="n">
        <v>2010.99</v>
      </c>
      <c r="G33" s="7" t="n">
        <v>124.68</v>
      </c>
      <c r="H33" s="7" t="n">
        <v>29.16</v>
      </c>
      <c r="I33" s="7" t="n">
        <v>12.07</v>
      </c>
      <c r="J33" s="7" t="n">
        <v>60.33</v>
      </c>
      <c r="K33" s="7" t="n">
        <v>2237.23</v>
      </c>
    </row>
    <row r="34">
      <c r="A34" s="5" t="inlineStr">
        <is>
          <t>EMP-022</t>
        </is>
      </c>
      <c r="B34" s="5" t="inlineStr">
        <is>
          <t>Devin Russo</t>
        </is>
      </c>
      <c r="C34" s="5" t="inlineStr">
        <is>
          <t>Legal Assistant</t>
        </is>
      </c>
      <c r="D34" s="7" t="n">
        <v>58000</v>
      </c>
      <c r="E34" s="7" t="n">
        <v>2230.77</v>
      </c>
      <c r="F34" s="7" t="n">
        <v>1912.09</v>
      </c>
      <c r="G34" s="7" t="n">
        <v>118.55</v>
      </c>
      <c r="H34" s="7" t="n">
        <v>27.73</v>
      </c>
      <c r="I34" s="7" t="n">
        <v>11.47</v>
      </c>
      <c r="J34" s="7" t="n">
        <v>57.36</v>
      </c>
      <c r="K34" s="7" t="n">
        <v>2127.2</v>
      </c>
    </row>
    <row r="35">
      <c r="A35" s="5" t="inlineStr">
        <is>
          <t>EMP-023</t>
        </is>
      </c>
      <c r="B35" s="5" t="inlineStr">
        <is>
          <t>Linda Pemberton</t>
        </is>
      </c>
      <c r="C35" s="5" t="inlineStr">
        <is>
          <t>Administrative</t>
        </is>
      </c>
      <c r="D35" s="7" t="n">
        <v>62000</v>
      </c>
      <c r="E35" s="7" t="n">
        <v>2384.62</v>
      </c>
      <c r="F35" s="7" t="n">
        <v>2043.96</v>
      </c>
      <c r="G35" s="7" t="n">
        <v>126.73</v>
      </c>
      <c r="H35" s="7" t="n">
        <v>29.64</v>
      </c>
      <c r="I35" s="7" t="n">
        <v>12.26</v>
      </c>
      <c r="J35" s="7" t="n">
        <v>61.32</v>
      </c>
      <c r="K35" s="7" t="n">
        <v>2273.91</v>
      </c>
    </row>
    <row r="36">
      <c r="A36" s="5" t="inlineStr">
        <is>
          <t>EMP-024</t>
        </is>
      </c>
      <c r="B36" s="5" t="inlineStr">
        <is>
          <t>Karen Yoshida</t>
        </is>
      </c>
      <c r="C36" s="5" t="inlineStr">
        <is>
          <t>Administrative</t>
        </is>
      </c>
      <c r="D36" s="7" t="n">
        <v>52000</v>
      </c>
      <c r="E36" s="7" t="n">
        <v>2000</v>
      </c>
      <c r="F36" s="7" t="n">
        <v>1714.29</v>
      </c>
      <c r="G36" s="7" t="n">
        <v>106.29</v>
      </c>
      <c r="H36" s="7" t="n">
        <v>24.86</v>
      </c>
      <c r="I36" s="7" t="n">
        <v>10.29</v>
      </c>
      <c r="J36" s="7" t="n">
        <v>51.43</v>
      </c>
      <c r="K36" s="7" t="n">
        <v>1907.16</v>
      </c>
    </row>
    <row r="37">
      <c r="A37" s="5" t="inlineStr">
        <is>
          <t>EMP-025</t>
        </is>
      </c>
      <c r="B37" s="5" t="inlineStr">
        <is>
          <t>Anthony Castellanos</t>
        </is>
      </c>
      <c r="C37" s="5" t="inlineStr">
        <is>
          <t>Bookkeeper</t>
        </is>
      </c>
      <c r="D37" s="7" t="n">
        <v>80000</v>
      </c>
      <c r="E37" s="7" t="n">
        <v>3076.92</v>
      </c>
      <c r="F37" s="7" t="n">
        <v>2637.36</v>
      </c>
      <c r="G37" s="7" t="n">
        <v>163.52</v>
      </c>
      <c r="H37" s="7" t="n">
        <v>38.24</v>
      </c>
      <c r="I37" s="7" t="n">
        <v>15.82</v>
      </c>
      <c r="J37" s="7" t="n">
        <v>79.12</v>
      </c>
      <c r="K37" s="7" t="n">
        <v>2934.06</v>
      </c>
    </row>
    <row r="38">
      <c r="A38" s="8" t="inlineStr">
        <is>
          <t>TOTAL</t>
        </is>
      </c>
      <c r="B38" s="8" t="n"/>
      <c r="C38" s="8" t="n"/>
      <c r="D38" s="9">
        <f>SUM(D21:D37)</f>
        <v/>
      </c>
      <c r="E38" s="9">
        <f>SUM(E21:E37)</f>
        <v/>
      </c>
      <c r="F38" s="9">
        <f>SUM(F21:F37)</f>
        <v/>
      </c>
      <c r="G38" s="9">
        <f>SUM(G21:G37)</f>
        <v/>
      </c>
      <c r="H38" s="9">
        <f>SUM(H21:H37)</f>
        <v/>
      </c>
      <c r="I38" s="9">
        <f>SUM(I21:I37)</f>
        <v/>
      </c>
      <c r="J38" s="9">
        <f>SUM(J21:J37)</f>
        <v/>
      </c>
      <c r="K38" s="9">
        <f>SUM(K21:K37)</f>
        <v/>
      </c>
    </row>
    <row r="39"/>
    <row r="40"/>
    <row r="41">
      <c r="A41" s="3" t="inlineStr">
        <is>
          <t>PROPOSED YE ADJUSTING JOURNAL ENTRY (Dec 31, 2024)</t>
        </is>
      </c>
    </row>
    <row r="42" ht="30" customHeight="1">
      <c r="A42" s="10" t="inlineStr">
        <is>
          <t>Reversing JE proposed Jan 1, 2025 (since the actual payroll for the Dec 20-Jan 2 period will be paid Jan 3 and will recognize full wages).</t>
        </is>
      </c>
    </row>
    <row r="43"/>
    <row r="44">
      <c r="A44" s="4" t="inlineStr">
        <is>
          <t>Date</t>
        </is>
      </c>
      <c r="B44" s="4" t="inlineStr">
        <is>
          <t>Account</t>
        </is>
      </c>
      <c r="C44" s="4" t="inlineStr">
        <is>
          <t>Debit</t>
        </is>
      </c>
      <c r="D44" s="4" t="inlineStr">
        <is>
          <t>Credit</t>
        </is>
      </c>
    </row>
    <row r="45">
      <c r="A45" s="11" t="inlineStr">
        <is>
          <t>2024-12-31</t>
        </is>
      </c>
      <c r="B45" s="11" t="inlineStr">
        <is>
          <t>acc_000035 / 6000 Salaries - Associates</t>
        </is>
      </c>
      <c r="C45" s="12" t="n">
        <v>26373.63</v>
      </c>
      <c r="D45" s="11" t="n"/>
    </row>
    <row r="46">
      <c r="A46" s="11" t="inlineStr">
        <is>
          <t>2024-12-31</t>
        </is>
      </c>
      <c r="B46" s="11" t="inlineStr">
        <is>
          <t>acc_000036 / 6010 Salaries - Of-Counsel</t>
        </is>
      </c>
      <c r="C46" s="12" t="n">
        <v>15164.83</v>
      </c>
      <c r="D46" s="11" t="n"/>
    </row>
    <row r="47">
      <c r="A47" s="11" t="inlineStr">
        <is>
          <t>2024-12-31</t>
        </is>
      </c>
      <c r="B47" s="11" t="inlineStr">
        <is>
          <t>acc_000037 / 6020 Salaries - Paralegals</t>
        </is>
      </c>
      <c r="C47" s="12" t="n">
        <v>8406.6</v>
      </c>
      <c r="D47" s="11" t="n"/>
    </row>
    <row r="48">
      <c r="A48" s="11" t="inlineStr">
        <is>
          <t>2024-12-31</t>
        </is>
      </c>
      <c r="B48" s="11" t="inlineStr">
        <is>
          <t>acc_000038 / 6030 Salaries - Legal Assistants</t>
        </is>
      </c>
      <c r="C48" s="12" t="n">
        <v>8291.209999999999</v>
      </c>
      <c r="D48" s="11" t="n"/>
    </row>
    <row r="49">
      <c r="A49" s="11" t="inlineStr">
        <is>
          <t>2024-12-31</t>
        </is>
      </c>
      <c r="B49" s="11" t="inlineStr">
        <is>
          <t>acc_000039 / 6040 Salaries - Administrative</t>
        </is>
      </c>
      <c r="C49" s="12" t="n">
        <v>3758.25</v>
      </c>
      <c r="D49" s="11" t="n"/>
    </row>
    <row r="50">
      <c r="A50" s="11" t="inlineStr">
        <is>
          <t>2024-12-31</t>
        </is>
      </c>
      <c r="B50" s="11" t="inlineStr">
        <is>
          <t>acc_000040 / 6050 Salaries - Bookkeeper</t>
        </is>
      </c>
      <c r="C50" s="12" t="n">
        <v>2637.36</v>
      </c>
      <c r="D50" s="11" t="n"/>
    </row>
    <row r="51">
      <c r="A51" s="11" t="inlineStr">
        <is>
          <t>2024-12-31</t>
        </is>
      </c>
      <c r="B51" s="11" t="inlineStr">
        <is>
          <t>acc_000041 / 6100 Employer Payroll Taxes</t>
        </is>
      </c>
      <c r="C51" s="12" t="n">
        <v>3243.49</v>
      </c>
      <c r="D51" s="11" t="n"/>
    </row>
    <row r="52">
      <c r="A52" s="11" t="inlineStr">
        <is>
          <t>2024-12-31</t>
        </is>
      </c>
      <c r="B52" s="11" t="inlineStr">
        <is>
          <t>acc_000043 / 6120 401(k) Employer Match</t>
        </is>
      </c>
      <c r="C52" s="12" t="n">
        <v>1938.96</v>
      </c>
      <c r="D52" s="11" t="n"/>
    </row>
    <row r="53">
      <c r="A53" s="11" t="inlineStr">
        <is>
          <t>2024-12-31</t>
        </is>
      </c>
      <c r="B53" s="13" t="inlineStr">
        <is>
          <t>acc_000016 / 2100 Accrued Payroll</t>
        </is>
      </c>
      <c r="C53" s="11" t="n"/>
      <c r="D53" s="14" t="n">
        <v>69814.33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2026-05-21T14:39:50Z</dcterms:created>
  <dcterms:modified xmlns:dcterms="http://purl.org/dc/terms/" xmlns:xsi="http://www.w3.org/2001/XMLSchema-instance" xsi:type="dcterms:W3CDTF">2026-05-21T15:32:12Z</dcterms:modified>
</cp:coreProperties>
</file>