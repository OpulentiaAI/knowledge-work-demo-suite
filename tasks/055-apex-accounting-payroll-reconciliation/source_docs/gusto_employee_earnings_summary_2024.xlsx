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Basis" sheetId="1" state="visible" r:id="rId1"/>
    <sheet xmlns:r="http://schemas.openxmlformats.org/officeDocument/2006/relationships" name="Annual Earnings Summary" sheetId="2" state="visible" r:id="rId2"/>
    <sheet xmlns:r="http://schemas.openxmlformats.org/officeDocument/2006/relationships" name="Firm Payroll G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10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3" fillId="2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8" customWidth="1" min="4" max="4"/>
    <col width="13" customWidth="1" min="5" max="5"/>
    <col width="9" customWidth="1" min="6" max="6"/>
    <col width="14" customWidth="1" min="7" max="7"/>
    <col width="11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1">
      <c r="A1" s="1" t="inlineStr">
        <is>
          <t>Sterling, Marsh &amp; Associates LLP - 2024 Employee Compensation Basis</t>
        </is>
      </c>
    </row>
    <row r="2">
      <c r="A2" s="2" t="inlineStr">
        <is>
          <t>W-2 employees only; partners on guaranteed payments (see partner_compensation_schedule.xlsx).</t>
        </is>
      </c>
    </row>
    <row r="4" ht="30" customHeight="1">
      <c r="A4" s="3" t="inlineStr">
        <is>
          <t>Employee ID</t>
        </is>
      </c>
      <c r="B4" s="3" t="inlineStr">
        <is>
          <t>Full Name</t>
        </is>
      </c>
      <c r="C4" s="3" t="inlineStr">
        <is>
          <t>Role</t>
        </is>
      </c>
      <c r="D4" s="3" t="inlineStr">
        <is>
          <t>Practice Group</t>
        </is>
      </c>
      <c r="E4" s="3" t="inlineStr">
        <is>
          <t>Start Date</t>
        </is>
      </c>
      <c r="F4" s="3" t="inlineStr">
        <is>
          <t>Tenure (yrs)</t>
        </is>
      </c>
      <c r="G4" s="3" t="inlineStr">
        <is>
          <t>Annual Base Salary</t>
        </is>
      </c>
      <c r="H4" s="3" t="inlineStr">
        <is>
          <t>Bonus Rate</t>
        </is>
      </c>
      <c r="I4" s="3" t="inlineStr">
        <is>
          <t>Annual Bonus</t>
        </is>
      </c>
      <c r="J4" s="3" t="inlineStr">
        <is>
          <t>Total Comp</t>
        </is>
      </c>
      <c r="K4" s="3" t="inlineStr">
        <is>
          <t>Filing Status</t>
        </is>
      </c>
      <c r="L4" s="3" t="inlineStr">
        <is>
          <t>Philly Resident</t>
        </is>
      </c>
      <c r="M4" s="3" t="inlineStr">
        <is>
          <t>Health Election</t>
        </is>
      </c>
      <c r="N4" s="3" t="inlineStr">
        <is>
          <t>401(k) Deferral %</t>
        </is>
      </c>
      <c r="O4" s="3" t="inlineStr">
        <is>
          <t>401(k) Safe Harbor (3%)</t>
        </is>
      </c>
    </row>
    <row r="5">
      <c r="A5" s="4" t="inlineStr">
        <is>
          <t>EMP-009</t>
        </is>
      </c>
      <c r="B5" s="4" t="inlineStr">
        <is>
          <t>Nathan Brooks</t>
        </is>
      </c>
      <c r="C5" s="4" t="inlineStr">
        <is>
          <t>Associate</t>
        </is>
      </c>
      <c r="D5" s="4" t="inlineStr">
        <is>
          <t>Litigation</t>
        </is>
      </c>
      <c r="E5" s="4" t="inlineStr">
        <is>
          <t>2019-09-03</t>
        </is>
      </c>
      <c r="F5" s="4" t="n">
        <v>4.3</v>
      </c>
      <c r="G5" s="5" t="n">
        <v>185000</v>
      </c>
      <c r="H5" s="6" t="n">
        <v>0.12</v>
      </c>
      <c r="I5" s="5" t="n">
        <v>22200</v>
      </c>
      <c r="J5" s="5" t="n">
        <v>207200</v>
      </c>
      <c r="K5" s="4" t="inlineStr">
        <is>
          <t>Single</t>
        </is>
      </c>
      <c r="L5" s="4" t="inlineStr">
        <is>
          <t>Yes</t>
        </is>
      </c>
      <c r="M5" s="4" t="inlineStr">
        <is>
          <t>Single</t>
        </is>
      </c>
      <c r="N5" s="6" t="n">
        <v>0</v>
      </c>
      <c r="O5" s="5" t="n">
        <v>6216</v>
      </c>
    </row>
    <row r="6">
      <c r="A6" s="4" t="inlineStr">
        <is>
          <t>EMP-010</t>
        </is>
      </c>
      <c r="B6" s="4" t="inlineStr">
        <is>
          <t>Aiden Park</t>
        </is>
      </c>
      <c r="C6" s="4" t="inlineStr">
        <is>
          <t>Associate</t>
        </is>
      </c>
      <c r="D6" s="4" t="inlineStr">
        <is>
          <t>Litigation</t>
        </is>
      </c>
      <c r="E6" s="4" t="inlineStr">
        <is>
          <t>2020-09-14</t>
        </is>
      </c>
      <c r="F6" s="4" t="n">
        <v>3.3</v>
      </c>
      <c r="G6" s="5" t="n">
        <v>172500</v>
      </c>
      <c r="H6" s="6" t="n">
        <v>0.12</v>
      </c>
      <c r="I6" s="5" t="n">
        <v>20700</v>
      </c>
      <c r="J6" s="5" t="n">
        <v>193200</v>
      </c>
      <c r="K6" s="4" t="inlineStr">
        <is>
          <t>Single</t>
        </is>
      </c>
      <c r="L6" s="4" t="inlineStr">
        <is>
          <t>Yes</t>
        </is>
      </c>
      <c r="M6" s="4" t="inlineStr">
        <is>
          <t>Single</t>
        </is>
      </c>
      <c r="N6" s="6" t="n">
        <v>0</v>
      </c>
      <c r="O6" s="5" t="n">
        <v>5796</v>
      </c>
    </row>
    <row r="7">
      <c r="A7" s="4" t="inlineStr">
        <is>
          <t>EMP-011</t>
        </is>
      </c>
      <c r="B7" s="4" t="inlineStr">
        <is>
          <t>Maya Reyes</t>
        </is>
      </c>
      <c r="C7" s="4" t="inlineStr">
        <is>
          <t>Associate</t>
        </is>
      </c>
      <c r="D7" s="4" t="inlineStr">
        <is>
          <t>Corporate-M&amp;A</t>
        </is>
      </c>
      <c r="E7" s="4" t="inlineStr">
        <is>
          <t>2021-09-13</t>
        </is>
      </c>
      <c r="F7" s="4" t="n">
        <v>2.3</v>
      </c>
      <c r="G7" s="5" t="n">
        <v>160000</v>
      </c>
      <c r="H7" s="6" t="n">
        <v>0.12</v>
      </c>
      <c r="I7" s="5" t="n">
        <v>19200</v>
      </c>
      <c r="J7" s="5" t="n">
        <v>179200</v>
      </c>
      <c r="K7" s="4" t="inlineStr">
        <is>
          <t>MFJ</t>
        </is>
      </c>
      <c r="L7" s="4" t="inlineStr">
        <is>
          <t>Yes</t>
        </is>
      </c>
      <c r="M7" s="4" t="inlineStr">
        <is>
          <t>Family</t>
        </is>
      </c>
      <c r="N7" s="6" t="n">
        <v>0</v>
      </c>
      <c r="O7" s="5" t="n">
        <v>5376</v>
      </c>
    </row>
    <row r="8">
      <c r="A8" s="4" t="inlineStr">
        <is>
          <t>EMP-012</t>
        </is>
      </c>
      <c r="B8" s="4" t="inlineStr">
        <is>
          <t>Tomas Aguilar</t>
        </is>
      </c>
      <c r="C8" s="4" t="inlineStr">
        <is>
          <t>Associate</t>
        </is>
      </c>
      <c r="D8" s="4" t="inlineStr">
        <is>
          <t>Litigation</t>
        </is>
      </c>
      <c r="E8" s="4" t="inlineStr">
        <is>
          <t>2022-09-12</t>
        </is>
      </c>
      <c r="F8" s="4" t="n">
        <v>1.3</v>
      </c>
      <c r="G8" s="5" t="n">
        <v>147500</v>
      </c>
      <c r="H8" s="6" t="n">
        <v>0.12</v>
      </c>
      <c r="I8" s="5" t="n">
        <v>17700</v>
      </c>
      <c r="J8" s="5" t="n">
        <v>165200</v>
      </c>
      <c r="K8" s="4" t="inlineStr">
        <is>
          <t>MFJ</t>
        </is>
      </c>
      <c r="L8" s="4" t="inlineStr">
        <is>
          <t>Yes</t>
        </is>
      </c>
      <c r="M8" s="4" t="inlineStr">
        <is>
          <t>Family</t>
        </is>
      </c>
      <c r="N8" s="6" t="n">
        <v>0</v>
      </c>
      <c r="O8" s="5" t="n">
        <v>4956</v>
      </c>
    </row>
    <row r="9">
      <c r="A9" s="4" t="inlineStr">
        <is>
          <t>EMP-013</t>
        </is>
      </c>
      <c r="B9" s="4" t="inlineStr">
        <is>
          <t>Hannah Whitfield</t>
        </is>
      </c>
      <c r="C9" s="4" t="inlineStr">
        <is>
          <t>Associate</t>
        </is>
      </c>
      <c r="D9" s="4" t="inlineStr">
        <is>
          <t>Real Estate</t>
        </is>
      </c>
      <c r="E9" s="4" t="inlineStr">
        <is>
          <t>2023-09-11</t>
        </is>
      </c>
      <c r="F9" s="4" t="n">
        <v>0.3</v>
      </c>
      <c r="G9" s="5" t="n">
        <v>135000</v>
      </c>
      <c r="H9" s="6" t="n">
        <v>0.12</v>
      </c>
      <c r="I9" s="5" t="n">
        <v>16200</v>
      </c>
      <c r="J9" s="5" t="n">
        <v>151200</v>
      </c>
      <c r="K9" s="4" t="inlineStr">
        <is>
          <t>MFJ</t>
        </is>
      </c>
      <c r="L9" s="4" t="inlineStr">
        <is>
          <t>Yes</t>
        </is>
      </c>
      <c r="M9" s="4" t="inlineStr">
        <is>
          <t>Single</t>
        </is>
      </c>
      <c r="N9" s="6" t="n">
        <v>0</v>
      </c>
      <c r="O9" s="5" t="n">
        <v>4536</v>
      </c>
    </row>
    <row r="10">
      <c r="A10" s="4" t="inlineStr">
        <is>
          <t>EMP-014</t>
        </is>
      </c>
      <c r="B10" s="4" t="inlineStr">
        <is>
          <t>Catherine Mbeki</t>
        </is>
      </c>
      <c r="C10" s="4" t="inlineStr">
        <is>
          <t>Of-Counsel</t>
        </is>
      </c>
      <c r="D10" s="4" t="inlineStr">
        <is>
          <t>Litigation</t>
        </is>
      </c>
      <c r="E10" s="4" t="inlineStr">
        <is>
          <t>2017-06-05</t>
        </is>
      </c>
      <c r="F10" s="4" t="n">
        <v>6.6</v>
      </c>
      <c r="G10" s="5" t="n">
        <v>215000</v>
      </c>
      <c r="H10" s="6" t="n">
        <v>0.1</v>
      </c>
      <c r="I10" s="5" t="n">
        <v>21500</v>
      </c>
      <c r="J10" s="5" t="n">
        <v>236500</v>
      </c>
      <c r="K10" s="4" t="inlineStr">
        <is>
          <t>Single</t>
        </is>
      </c>
      <c r="L10" s="4" t="inlineStr">
        <is>
          <t>Yes</t>
        </is>
      </c>
      <c r="M10" s="4" t="inlineStr">
        <is>
          <t>Single</t>
        </is>
      </c>
      <c r="N10" s="6" t="n">
        <v>0</v>
      </c>
      <c r="O10" s="5" t="n">
        <v>7095</v>
      </c>
    </row>
    <row r="11">
      <c r="A11" s="4" t="inlineStr">
        <is>
          <t>EMP-015</t>
        </is>
      </c>
      <c r="B11" s="4" t="inlineStr">
        <is>
          <t>Frederick Wagner</t>
        </is>
      </c>
      <c r="C11" s="4" t="inlineStr">
        <is>
          <t>Of-Counsel</t>
        </is>
      </c>
      <c r="D11" s="4" t="inlineStr">
        <is>
          <t>Corporate-M&amp;A</t>
        </is>
      </c>
      <c r="E11" s="4" t="inlineStr">
        <is>
          <t>2016-11-14</t>
        </is>
      </c>
      <c r="F11" s="4" t="n">
        <v>7.1</v>
      </c>
      <c r="G11" s="5" t="n">
        <v>245000</v>
      </c>
      <c r="H11" s="6" t="n">
        <v>0.1</v>
      </c>
      <c r="I11" s="5" t="n">
        <v>24500</v>
      </c>
      <c r="J11" s="5" t="n">
        <v>269500</v>
      </c>
      <c r="K11" s="4" t="inlineStr">
        <is>
          <t>Single</t>
        </is>
      </c>
      <c r="L11" s="4" t="inlineStr">
        <is>
          <t>No</t>
        </is>
      </c>
      <c r="M11" s="4" t="inlineStr">
        <is>
          <t>Family</t>
        </is>
      </c>
      <c r="N11" s="6" t="n">
        <v>0</v>
      </c>
      <c r="O11" s="5" t="n">
        <v>8085</v>
      </c>
    </row>
    <row r="12">
      <c r="A12" s="4" t="inlineStr">
        <is>
          <t>EMP-016</t>
        </is>
      </c>
      <c r="B12" s="4" t="inlineStr">
        <is>
          <t>Rebecca Tanaka</t>
        </is>
      </c>
      <c r="C12" s="4" t="inlineStr">
        <is>
          <t>Paralegal</t>
        </is>
      </c>
      <c r="D12" s="4" t="inlineStr">
        <is>
          <t>Litigation</t>
        </is>
      </c>
      <c r="E12" s="4" t="inlineStr">
        <is>
          <t>2018-04-16</t>
        </is>
      </c>
      <c r="F12" s="4" t="n">
        <v>5.7</v>
      </c>
      <c r="G12" s="5" t="n">
        <v>92000</v>
      </c>
      <c r="H12" s="6" t="n">
        <v>0.05</v>
      </c>
      <c r="I12" s="5" t="n">
        <v>4600</v>
      </c>
      <c r="J12" s="5" t="n">
        <v>96600</v>
      </c>
      <c r="K12" s="4" t="inlineStr">
        <is>
          <t>MFJ</t>
        </is>
      </c>
      <c r="L12" s="4" t="inlineStr">
        <is>
          <t>Yes</t>
        </is>
      </c>
      <c r="M12" s="4" t="inlineStr">
        <is>
          <t>Single</t>
        </is>
      </c>
      <c r="N12" s="6" t="n">
        <v>0.06</v>
      </c>
      <c r="O12" s="5" t="n">
        <v>2898</v>
      </c>
    </row>
    <row r="13">
      <c r="A13" s="4" t="inlineStr">
        <is>
          <t>EMP-017</t>
        </is>
      </c>
      <c r="B13" s="4" t="inlineStr">
        <is>
          <t>Leon Beaumont</t>
        </is>
      </c>
      <c r="C13" s="4" t="inlineStr">
        <is>
          <t>Paralegal</t>
        </is>
      </c>
      <c r="D13" s="4" t="inlineStr">
        <is>
          <t>Corporate-M&amp;A</t>
        </is>
      </c>
      <c r="E13" s="4" t="inlineStr">
        <is>
          <t>2020-08-10</t>
        </is>
      </c>
      <c r="F13" s="4" t="n">
        <v>3.4</v>
      </c>
      <c r="G13" s="5" t="n">
        <v>85000</v>
      </c>
      <c r="H13" s="6" t="n">
        <v>0.05</v>
      </c>
      <c r="I13" s="5" t="n">
        <v>4250</v>
      </c>
      <c r="J13" s="5" t="n">
        <v>89250</v>
      </c>
      <c r="K13" s="4" t="inlineStr">
        <is>
          <t>MFJ</t>
        </is>
      </c>
      <c r="L13" s="4" t="inlineStr">
        <is>
          <t>Yes</t>
        </is>
      </c>
      <c r="M13" s="4" t="inlineStr">
        <is>
          <t>Family</t>
        </is>
      </c>
      <c r="N13" s="6" t="n">
        <v>0</v>
      </c>
      <c r="O13" s="5" t="n">
        <v>2677.5</v>
      </c>
    </row>
    <row r="14">
      <c r="A14" s="4" t="inlineStr">
        <is>
          <t>EMP-018</t>
        </is>
      </c>
      <c r="B14" s="4" t="inlineStr">
        <is>
          <t>Sofia Delgado</t>
        </is>
      </c>
      <c r="C14" s="4" t="inlineStr">
        <is>
          <t>Paralegal</t>
        </is>
      </c>
      <c r="D14" s="4" t="inlineStr">
        <is>
          <t>Real Estate</t>
        </is>
      </c>
      <c r="E14" s="4" t="inlineStr">
        <is>
          <t>2021-06-14</t>
        </is>
      </c>
      <c r="F14" s="4" t="n">
        <v>2.5</v>
      </c>
      <c r="G14" s="5" t="n">
        <v>78000</v>
      </c>
      <c r="H14" s="6" t="n">
        <v>0.05</v>
      </c>
      <c r="I14" s="5" t="n">
        <v>3900</v>
      </c>
      <c r="J14" s="5" t="n">
        <v>81900</v>
      </c>
      <c r="K14" s="4" t="inlineStr">
        <is>
          <t>MFJ</t>
        </is>
      </c>
      <c r="L14" s="4" t="inlineStr">
        <is>
          <t>No</t>
        </is>
      </c>
      <c r="M14" s="4" t="inlineStr">
        <is>
          <t>Single</t>
        </is>
      </c>
      <c r="N14" s="6" t="n">
        <v>0</v>
      </c>
      <c r="O14" s="5" t="n">
        <v>2457</v>
      </c>
    </row>
    <row r="15">
      <c r="A15" s="4" t="inlineStr">
        <is>
          <t>EMP-019</t>
        </is>
      </c>
      <c r="B15" s="4" t="inlineStr">
        <is>
          <t>Tasha Williams</t>
        </is>
      </c>
      <c r="C15" s="4" t="inlineStr">
        <is>
          <t>Legal Assistant</t>
        </is>
      </c>
      <c r="D15" s="4" t="inlineStr">
        <is>
          <t>Litigation</t>
        </is>
      </c>
      <c r="E15" s="4" t="inlineStr">
        <is>
          <t>2019-05-13</t>
        </is>
      </c>
      <c r="F15" s="4" t="n">
        <v>4.6</v>
      </c>
      <c r="G15" s="5" t="n">
        <v>68000</v>
      </c>
      <c r="H15" s="6" t="n">
        <v>0.05</v>
      </c>
      <c r="I15" s="5" t="n">
        <v>3400</v>
      </c>
      <c r="J15" s="5" t="n">
        <v>71400</v>
      </c>
      <c r="K15" s="4" t="inlineStr">
        <is>
          <t>Single</t>
        </is>
      </c>
      <c r="L15" s="4" t="inlineStr">
        <is>
          <t>Yes</t>
        </is>
      </c>
      <c r="M15" s="4" t="inlineStr">
        <is>
          <t>Family</t>
        </is>
      </c>
      <c r="N15" s="6" t="n">
        <v>0</v>
      </c>
      <c r="O15" s="5" t="n">
        <v>2142</v>
      </c>
    </row>
    <row r="16">
      <c r="A16" s="4" t="inlineStr">
        <is>
          <t>EMP-020</t>
        </is>
      </c>
      <c r="B16" s="4" t="inlineStr">
        <is>
          <t>Jenna Foster</t>
        </is>
      </c>
      <c r="C16" s="4" t="inlineStr">
        <is>
          <t>Legal Assistant</t>
        </is>
      </c>
      <c r="D16" s="4" t="inlineStr">
        <is>
          <t>Corporate-M&amp;A</t>
        </is>
      </c>
      <c r="E16" s="4" t="inlineStr">
        <is>
          <t>2020-03-23</t>
        </is>
      </c>
      <c r="F16" s="4" t="n">
        <v>3.8</v>
      </c>
      <c r="G16" s="5" t="n">
        <v>64500</v>
      </c>
      <c r="H16" s="6" t="n">
        <v>0.05</v>
      </c>
      <c r="I16" s="5" t="n">
        <v>3225</v>
      </c>
      <c r="J16" s="5" t="n">
        <v>67725</v>
      </c>
      <c r="K16" s="4" t="inlineStr">
        <is>
          <t>HOH</t>
        </is>
      </c>
      <c r="L16" s="4" t="inlineStr">
        <is>
          <t>Yes</t>
        </is>
      </c>
      <c r="M16" s="4" t="inlineStr">
        <is>
          <t>Single</t>
        </is>
      </c>
      <c r="N16" s="6" t="n">
        <v>0.1</v>
      </c>
      <c r="O16" s="5" t="n">
        <v>2031.75</v>
      </c>
    </row>
    <row r="17">
      <c r="A17" s="4" t="inlineStr">
        <is>
          <t>EMP-021</t>
        </is>
      </c>
      <c r="B17" s="4" t="inlineStr">
        <is>
          <t>Maria Iglesias</t>
        </is>
      </c>
      <c r="C17" s="4" t="inlineStr">
        <is>
          <t>Legal Assistant</t>
        </is>
      </c>
      <c r="D17" s="4" t="inlineStr">
        <is>
          <t>Litigation</t>
        </is>
      </c>
      <c r="E17" s="4" t="inlineStr">
        <is>
          <t>2022-01-17</t>
        </is>
      </c>
      <c r="F17" s="4" t="n">
        <v>2</v>
      </c>
      <c r="G17" s="5" t="n">
        <v>61000</v>
      </c>
      <c r="H17" s="6" t="n">
        <v>0.05</v>
      </c>
      <c r="I17" s="5" t="n">
        <v>3050</v>
      </c>
      <c r="J17" s="5" t="n">
        <v>64050</v>
      </c>
      <c r="K17" s="4" t="inlineStr">
        <is>
          <t>Single</t>
        </is>
      </c>
      <c r="L17" s="4" t="inlineStr">
        <is>
          <t>Yes</t>
        </is>
      </c>
      <c r="M17" s="4" t="inlineStr">
        <is>
          <t>Single</t>
        </is>
      </c>
      <c r="N17" s="6" t="n">
        <v>0.06</v>
      </c>
      <c r="O17" s="5" t="n">
        <v>1921.5</v>
      </c>
    </row>
    <row r="18">
      <c r="A18" s="4" t="inlineStr">
        <is>
          <t>EMP-022</t>
        </is>
      </c>
      <c r="B18" s="4" t="inlineStr">
        <is>
          <t>Devin Russo</t>
        </is>
      </c>
      <c r="C18" s="4" t="inlineStr">
        <is>
          <t>Legal Assistant</t>
        </is>
      </c>
      <c r="D18" s="4" t="inlineStr">
        <is>
          <t>Real Estate</t>
        </is>
      </c>
      <c r="E18" s="4" t="inlineStr">
        <is>
          <t>2023-04-24</t>
        </is>
      </c>
      <c r="F18" s="4" t="n">
        <v>0.7</v>
      </c>
      <c r="G18" s="5" t="n">
        <v>58000</v>
      </c>
      <c r="H18" s="6" t="n">
        <v>0.05</v>
      </c>
      <c r="I18" s="5" t="n">
        <v>2900</v>
      </c>
      <c r="J18" s="5" t="n">
        <v>60900</v>
      </c>
      <c r="K18" s="4" t="inlineStr">
        <is>
          <t>MFJ</t>
        </is>
      </c>
      <c r="L18" s="4" t="inlineStr">
        <is>
          <t>Yes</t>
        </is>
      </c>
      <c r="M18" s="4" t="inlineStr">
        <is>
          <t>Single</t>
        </is>
      </c>
      <c r="N18" s="6" t="n">
        <v>0.08</v>
      </c>
      <c r="O18" s="5" t="n">
        <v>1827</v>
      </c>
    </row>
    <row r="19">
      <c r="A19" s="4" t="inlineStr">
        <is>
          <t>EMP-023</t>
        </is>
      </c>
      <c r="B19" s="4" t="inlineStr">
        <is>
          <t>Linda Pemberton</t>
        </is>
      </c>
      <c r="C19" s="4" t="inlineStr">
        <is>
          <t>Administrative</t>
        </is>
      </c>
      <c r="D19" s="4" t="inlineStr">
        <is>
          <t>Firm</t>
        </is>
      </c>
      <c r="E19" s="4" t="inlineStr">
        <is>
          <t>2014-08-04</t>
        </is>
      </c>
      <c r="F19" s="4" t="n">
        <v>9.4</v>
      </c>
      <c r="G19" s="5" t="n">
        <v>62000</v>
      </c>
      <c r="H19" s="6" t="n">
        <v>0.05</v>
      </c>
      <c r="I19" s="5" t="n">
        <v>3100</v>
      </c>
      <c r="J19" s="5" t="n">
        <v>65100</v>
      </c>
      <c r="K19" s="4" t="inlineStr">
        <is>
          <t>HOH</t>
        </is>
      </c>
      <c r="L19" s="4" t="inlineStr">
        <is>
          <t>Yes</t>
        </is>
      </c>
      <c r="M19" s="4" t="inlineStr">
        <is>
          <t>Single</t>
        </is>
      </c>
      <c r="N19" s="6" t="n">
        <v>0</v>
      </c>
      <c r="O19" s="5" t="n">
        <v>1953</v>
      </c>
    </row>
    <row r="20">
      <c r="A20" s="4" t="inlineStr">
        <is>
          <t>EMP-024</t>
        </is>
      </c>
      <c r="B20" s="4" t="inlineStr">
        <is>
          <t>Karen Yoshida</t>
        </is>
      </c>
      <c r="C20" s="4" t="inlineStr">
        <is>
          <t>Administrative</t>
        </is>
      </c>
      <c r="D20" s="4" t="inlineStr">
        <is>
          <t>Firm</t>
        </is>
      </c>
      <c r="E20" s="4" t="inlineStr">
        <is>
          <t>2018-10-01</t>
        </is>
      </c>
      <c r="F20" s="4" t="n">
        <v>5.3</v>
      </c>
      <c r="G20" s="5" t="n">
        <v>52000</v>
      </c>
      <c r="H20" s="6" t="n">
        <v>0.05</v>
      </c>
      <c r="I20" s="5" t="n">
        <v>2600</v>
      </c>
      <c r="J20" s="5" t="n">
        <v>54600</v>
      </c>
      <c r="K20" s="4" t="inlineStr">
        <is>
          <t>Single</t>
        </is>
      </c>
      <c r="L20" s="4" t="inlineStr">
        <is>
          <t>Yes</t>
        </is>
      </c>
      <c r="M20" s="4" t="inlineStr">
        <is>
          <t>Single</t>
        </is>
      </c>
      <c r="N20" s="6" t="n">
        <v>0</v>
      </c>
      <c r="O20" s="5" t="n">
        <v>1638</v>
      </c>
    </row>
    <row r="21">
      <c r="A21" s="4" t="inlineStr">
        <is>
          <t>EMP-025</t>
        </is>
      </c>
      <c r="B21" s="4" t="inlineStr">
        <is>
          <t>Anthony Castellanos</t>
        </is>
      </c>
      <c r="C21" s="4" t="inlineStr">
        <is>
          <t>Bookkeeper</t>
        </is>
      </c>
      <c r="D21" s="4" t="inlineStr">
        <is>
          <t>Firm</t>
        </is>
      </c>
      <c r="E21" s="4" t="inlineStr">
        <is>
          <t>2019-07-22</t>
        </is>
      </c>
      <c r="F21" s="4" t="n">
        <v>4.4</v>
      </c>
      <c r="G21" s="5" t="n">
        <v>80000</v>
      </c>
      <c r="H21" s="6" t="n">
        <v>0.05</v>
      </c>
      <c r="I21" s="5" t="n">
        <v>4000</v>
      </c>
      <c r="J21" s="5" t="n">
        <v>84000</v>
      </c>
      <c r="K21" s="4" t="inlineStr">
        <is>
          <t>Single</t>
        </is>
      </c>
      <c r="L21" s="4" t="inlineStr">
        <is>
          <t>Yes</t>
        </is>
      </c>
      <c r="M21" s="4" t="inlineStr">
        <is>
          <t>Single</t>
        </is>
      </c>
      <c r="N21" s="6" t="n">
        <v>0</v>
      </c>
      <c r="O21" s="5" t="n">
        <v>2520</v>
      </c>
    </row>
    <row r="22">
      <c r="A22" s="7" t="inlineStr">
        <is>
          <t>TOTAL</t>
        </is>
      </c>
      <c r="B22" s="7" t="n"/>
      <c r="C22" s="7" t="n"/>
      <c r="D22" s="7" t="n"/>
      <c r="E22" s="7" t="n"/>
      <c r="F22" s="7" t="n"/>
      <c r="G22" s="8">
        <f>SUM(G5:G21)</f>
        <v/>
      </c>
      <c r="H22" s="7" t="n"/>
      <c r="I22" s="8">
        <f>SUM(I5:I21)</f>
        <v/>
      </c>
      <c r="J22" s="8">
        <f>SUM(J5:J21)</f>
        <v/>
      </c>
      <c r="K22" s="7" t="n"/>
      <c r="L22" s="7" t="n"/>
      <c r="M22" s="7" t="n"/>
      <c r="N22" s="7" t="n"/>
      <c r="O22" s="8">
        <f>SUM(O5:O21)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2024 Annual Earnings Summary by Employee (W-2 prep)</t>
        </is>
      </c>
    </row>
    <row r="2">
      <c r="A2" s="2" t="inlineStr">
        <is>
          <t>YTD totals computed from gusto_payroll_register_2024.csv</t>
        </is>
      </c>
    </row>
    <row r="4" ht="30" customHeight="1">
      <c r="A4" s="3" t="inlineStr">
        <is>
          <t>Employee ID</t>
        </is>
      </c>
      <c r="B4" s="3" t="inlineStr">
        <is>
          <t>Full Name</t>
        </is>
      </c>
      <c r="C4" s="3" t="inlineStr">
        <is>
          <t>Role</t>
        </is>
      </c>
      <c r="D4" s="3" t="inlineStr">
        <is>
          <t>YTD Regular Pay</t>
        </is>
      </c>
      <c r="E4" s="3" t="inlineStr">
        <is>
          <t>YTD Bonus Pay</t>
        </is>
      </c>
      <c r="F4" s="3" t="inlineStr">
        <is>
          <t>YTD Gross</t>
        </is>
      </c>
      <c r="G4" s="3" t="inlineStr">
        <is>
          <t>YTD 401(k) EE</t>
        </is>
      </c>
      <c r="H4" s="3" t="inlineStr">
        <is>
          <t>YTD Health EE</t>
        </is>
      </c>
      <c r="I4" s="3" t="inlineStr">
        <is>
          <t>YTD Fed Tax</t>
        </is>
      </c>
      <c r="J4" s="3" t="inlineStr">
        <is>
          <t>YTD SS</t>
        </is>
      </c>
      <c r="K4" s="3" t="inlineStr">
        <is>
          <t>YTD Medicare</t>
        </is>
      </c>
      <c r="L4" s="3" t="inlineStr">
        <is>
          <t>YTD Addl Medicare</t>
        </is>
      </c>
      <c r="M4" s="3" t="inlineStr">
        <is>
          <t>YTD PA State</t>
        </is>
      </c>
      <c r="N4" s="3" t="inlineStr">
        <is>
          <t>YTD Philly</t>
        </is>
      </c>
      <c r="O4" s="3" t="inlineStr">
        <is>
          <t>YTD PA SUI EE</t>
        </is>
      </c>
      <c r="P4" s="3" t="inlineStr">
        <is>
          <t>YTD PA LST</t>
        </is>
      </c>
      <c r="Q4" s="3" t="inlineStr">
        <is>
          <t>YTD Total EE Taxes</t>
        </is>
      </c>
      <c r="R4" s="3" t="inlineStr">
        <is>
          <t>YTD Net Pay</t>
        </is>
      </c>
    </row>
    <row r="5">
      <c r="A5" s="4" t="inlineStr">
        <is>
          <t>EMP-009</t>
        </is>
      </c>
      <c r="B5" s="4" t="inlineStr">
        <is>
          <t>Nathan Brooks</t>
        </is>
      </c>
      <c r="C5" s="4" t="inlineStr">
        <is>
          <t>Associate</t>
        </is>
      </c>
      <c r="D5" s="5" t="n">
        <v>184999.88</v>
      </c>
      <c r="E5" s="5" t="n">
        <v>22200</v>
      </c>
      <c r="F5" s="5" t="n">
        <v>207199.88</v>
      </c>
      <c r="G5" s="5" t="n">
        <v>0</v>
      </c>
      <c r="H5" s="5" t="n">
        <v>2470</v>
      </c>
      <c r="I5" s="5" t="n">
        <v>41440.08</v>
      </c>
      <c r="J5" s="5" t="n">
        <v>10453.12</v>
      </c>
      <c r="K5" s="5" t="n">
        <v>3004.32</v>
      </c>
      <c r="L5" s="5" t="n">
        <v>64.8</v>
      </c>
      <c r="M5" s="5" t="n">
        <v>6360.98</v>
      </c>
      <c r="N5" s="5" t="n">
        <v>7770.08</v>
      </c>
      <c r="O5" s="5" t="n">
        <v>145.02</v>
      </c>
      <c r="P5" s="5" t="n">
        <v>52</v>
      </c>
      <c r="Q5" s="5" t="n">
        <v>69290.39999999999</v>
      </c>
      <c r="R5" s="5" t="n">
        <v>135439.48</v>
      </c>
    </row>
    <row r="6">
      <c r="A6" s="4" t="inlineStr">
        <is>
          <t>EMP-010</t>
        </is>
      </c>
      <c r="B6" s="4" t="inlineStr">
        <is>
          <t>Aiden Park</t>
        </is>
      </c>
      <c r="C6" s="4" t="inlineStr">
        <is>
          <t>Associate</t>
        </is>
      </c>
      <c r="D6" s="5" t="n">
        <v>172500.12</v>
      </c>
      <c r="E6" s="5" t="n">
        <v>20700</v>
      </c>
      <c r="F6" s="5" t="n">
        <v>193200.12</v>
      </c>
      <c r="G6" s="5" t="n">
        <v>0</v>
      </c>
      <c r="H6" s="5" t="n">
        <v>2470</v>
      </c>
      <c r="I6" s="5" t="n">
        <v>38639.92</v>
      </c>
      <c r="J6" s="5" t="n">
        <v>10453.2</v>
      </c>
      <c r="K6" s="5" t="n">
        <v>2801.35</v>
      </c>
      <c r="L6" s="5" t="n">
        <v>0</v>
      </c>
      <c r="M6" s="5" t="n">
        <v>5931.17</v>
      </c>
      <c r="N6" s="5" t="n">
        <v>7245.05</v>
      </c>
      <c r="O6" s="5" t="n">
        <v>135.13</v>
      </c>
      <c r="P6" s="5" t="n">
        <v>52</v>
      </c>
      <c r="Q6" s="5" t="n">
        <v>65257.82</v>
      </c>
      <c r="R6" s="5" t="n">
        <v>125472.3</v>
      </c>
    </row>
    <row r="7">
      <c r="A7" s="4" t="inlineStr">
        <is>
          <t>EMP-011</t>
        </is>
      </c>
      <c r="B7" s="4" t="inlineStr">
        <is>
          <t>Maya Reyes</t>
        </is>
      </c>
      <c r="C7" s="4" t="inlineStr">
        <is>
          <t>Associate</t>
        </is>
      </c>
      <c r="D7" s="5" t="n">
        <v>160000.1</v>
      </c>
      <c r="E7" s="5" t="n">
        <v>19200</v>
      </c>
      <c r="F7" s="5" t="n">
        <v>179200.1</v>
      </c>
      <c r="G7" s="5" t="n">
        <v>0</v>
      </c>
      <c r="H7" s="5" t="n">
        <v>5928</v>
      </c>
      <c r="I7" s="5" t="n">
        <v>35840.02</v>
      </c>
      <c r="J7" s="5" t="n">
        <v>10453.2</v>
      </c>
      <c r="K7" s="5" t="n">
        <v>2598.38</v>
      </c>
      <c r="L7" s="5" t="n">
        <v>0</v>
      </c>
      <c r="M7" s="5" t="n">
        <v>5501.36</v>
      </c>
      <c r="N7" s="5" t="n">
        <v>6720.02</v>
      </c>
      <c r="O7" s="5" t="n">
        <v>125.5</v>
      </c>
      <c r="P7" s="5" t="n">
        <v>52</v>
      </c>
      <c r="Q7" s="5" t="n">
        <v>61290.48</v>
      </c>
      <c r="R7" s="5" t="n">
        <v>111981.62</v>
      </c>
    </row>
    <row r="8">
      <c r="A8" s="4" t="inlineStr">
        <is>
          <t>EMP-012</t>
        </is>
      </c>
      <c r="B8" s="4" t="inlineStr">
        <is>
          <t>Tomas Aguilar</t>
        </is>
      </c>
      <c r="C8" s="4" t="inlineStr">
        <is>
          <t>Associate</t>
        </is>
      </c>
      <c r="D8" s="5" t="n">
        <v>147500.08</v>
      </c>
      <c r="E8" s="5" t="n">
        <v>17700</v>
      </c>
      <c r="F8" s="5" t="n">
        <v>165200.08</v>
      </c>
      <c r="G8" s="5" t="n">
        <v>0</v>
      </c>
      <c r="H8" s="5" t="n">
        <v>5928</v>
      </c>
      <c r="I8" s="5" t="n">
        <v>33040.12</v>
      </c>
      <c r="J8" s="5" t="n">
        <v>10242.38</v>
      </c>
      <c r="K8" s="5" t="n">
        <v>2395.41</v>
      </c>
      <c r="L8" s="5" t="n">
        <v>0</v>
      </c>
      <c r="M8" s="5" t="n">
        <v>5071.55</v>
      </c>
      <c r="N8" s="5" t="n">
        <v>6194.99</v>
      </c>
      <c r="O8" s="5" t="n">
        <v>115.61</v>
      </c>
      <c r="P8" s="5" t="n">
        <v>52</v>
      </c>
      <c r="Q8" s="5" t="n">
        <v>57112.06</v>
      </c>
      <c r="R8" s="5" t="n">
        <v>102160.02</v>
      </c>
    </row>
    <row r="9">
      <c r="A9" s="4" t="inlineStr">
        <is>
          <t>EMP-013</t>
        </is>
      </c>
      <c r="B9" s="4" t="inlineStr">
        <is>
          <t>Hannah Whitfield</t>
        </is>
      </c>
      <c r="C9" s="4" t="inlineStr">
        <is>
          <t>Associate</t>
        </is>
      </c>
      <c r="D9" s="5" t="n">
        <v>135000.06</v>
      </c>
      <c r="E9" s="5" t="n">
        <v>16200</v>
      </c>
      <c r="F9" s="5" t="n">
        <v>151200.06</v>
      </c>
      <c r="G9" s="5" t="n">
        <v>0</v>
      </c>
      <c r="H9" s="5" t="n">
        <v>2470</v>
      </c>
      <c r="I9" s="5" t="n">
        <v>30239.96</v>
      </c>
      <c r="J9" s="5" t="n">
        <v>9374.32</v>
      </c>
      <c r="K9" s="5" t="n">
        <v>2192.44</v>
      </c>
      <c r="L9" s="5" t="n">
        <v>0</v>
      </c>
      <c r="M9" s="5" t="n">
        <v>4641.74</v>
      </c>
      <c r="N9" s="5" t="n">
        <v>5669.96</v>
      </c>
      <c r="O9" s="5" t="n">
        <v>105.72</v>
      </c>
      <c r="P9" s="5" t="n">
        <v>52</v>
      </c>
      <c r="Q9" s="5" t="n">
        <v>52276.14</v>
      </c>
      <c r="R9" s="5" t="n">
        <v>96453.92</v>
      </c>
    </row>
    <row r="10">
      <c r="A10" s="4" t="inlineStr">
        <is>
          <t>EMP-014</t>
        </is>
      </c>
      <c r="B10" s="4" t="inlineStr">
        <is>
          <t>Catherine Mbeki</t>
        </is>
      </c>
      <c r="C10" s="4" t="inlineStr">
        <is>
          <t>Of-Counsel</t>
        </is>
      </c>
      <c r="D10" s="5" t="n">
        <v>214999.98</v>
      </c>
      <c r="E10" s="5" t="n">
        <v>21500</v>
      </c>
      <c r="F10" s="5" t="n">
        <v>236499.98</v>
      </c>
      <c r="G10" s="5" t="n">
        <v>0</v>
      </c>
      <c r="H10" s="5" t="n">
        <v>2470</v>
      </c>
      <c r="I10" s="5" t="n">
        <v>52029.98</v>
      </c>
      <c r="J10" s="5" t="n">
        <v>10453.15</v>
      </c>
      <c r="K10" s="5" t="n">
        <v>3429.15</v>
      </c>
      <c r="L10" s="5" t="n">
        <v>328.5</v>
      </c>
      <c r="M10" s="5" t="n">
        <v>7260.67</v>
      </c>
      <c r="N10" s="5" t="n">
        <v>8868.85</v>
      </c>
      <c r="O10" s="5" t="n">
        <v>165.59</v>
      </c>
      <c r="P10" s="5" t="n">
        <v>52</v>
      </c>
      <c r="Q10" s="5" t="n">
        <v>82587.89</v>
      </c>
      <c r="R10" s="5" t="n">
        <v>151442.09</v>
      </c>
    </row>
    <row r="11">
      <c r="A11" s="4" t="inlineStr">
        <is>
          <t>EMP-015</t>
        </is>
      </c>
      <c r="B11" s="4" t="inlineStr">
        <is>
          <t>Frederick Wagner</t>
        </is>
      </c>
      <c r="C11" s="4" t="inlineStr">
        <is>
          <t>Of-Counsel</t>
        </is>
      </c>
      <c r="D11" s="5" t="n">
        <v>245000.08</v>
      </c>
      <c r="E11" s="5" t="n">
        <v>24500</v>
      </c>
      <c r="F11" s="5" t="n">
        <v>269500.08</v>
      </c>
      <c r="G11" s="5" t="n">
        <v>0</v>
      </c>
      <c r="H11" s="5" t="n">
        <v>5928</v>
      </c>
      <c r="I11" s="5" t="n">
        <v>59290.08</v>
      </c>
      <c r="J11" s="5" t="n">
        <v>10453.18</v>
      </c>
      <c r="K11" s="5" t="n">
        <v>3907.63</v>
      </c>
      <c r="L11" s="5" t="n">
        <v>625.51</v>
      </c>
      <c r="M11" s="5" t="n">
        <v>8273.690000000001</v>
      </c>
      <c r="N11" s="5" t="n">
        <v>9270.700000000001</v>
      </c>
      <c r="O11" s="5" t="n">
        <v>188.75</v>
      </c>
      <c r="P11" s="5" t="n">
        <v>52</v>
      </c>
      <c r="Q11" s="5" t="n">
        <v>92061.53999999999</v>
      </c>
      <c r="R11" s="5" t="n">
        <v>171510.54</v>
      </c>
    </row>
    <row r="12">
      <c r="A12" s="4" t="inlineStr">
        <is>
          <t>EMP-016</t>
        </is>
      </c>
      <c r="B12" s="4" t="inlineStr">
        <is>
          <t>Rebecca Tanaka</t>
        </is>
      </c>
      <c r="C12" s="4" t="inlineStr">
        <is>
          <t>Paralegal</t>
        </is>
      </c>
      <c r="D12" s="5" t="n">
        <v>91999.96000000001</v>
      </c>
      <c r="E12" s="5" t="n">
        <v>4600</v>
      </c>
      <c r="F12" s="5" t="n">
        <v>96599.96000000001</v>
      </c>
      <c r="G12" s="5" t="n">
        <v>5796.06</v>
      </c>
      <c r="H12" s="5" t="n">
        <v>2340</v>
      </c>
      <c r="I12" s="5" t="n">
        <v>11804.52</v>
      </c>
      <c r="J12" s="5" t="n">
        <v>5989.08</v>
      </c>
      <c r="K12" s="5" t="n">
        <v>1400.76</v>
      </c>
      <c r="L12" s="5" t="n">
        <v>0</v>
      </c>
      <c r="M12" s="5" t="n">
        <v>2965.6</v>
      </c>
      <c r="N12" s="5" t="n">
        <v>3622.44</v>
      </c>
      <c r="O12" s="5" t="n">
        <v>67.7</v>
      </c>
      <c r="P12" s="5" t="n">
        <v>52</v>
      </c>
      <c r="Q12" s="5" t="n">
        <v>25902.1</v>
      </c>
      <c r="R12" s="5" t="n">
        <v>62561.8</v>
      </c>
    </row>
    <row r="13">
      <c r="A13" s="4" t="inlineStr">
        <is>
          <t>EMP-017</t>
        </is>
      </c>
      <c r="B13" s="4" t="inlineStr">
        <is>
          <t>Leon Beaumont</t>
        </is>
      </c>
      <c r="C13" s="4" t="inlineStr">
        <is>
          <t>Paralegal</t>
        </is>
      </c>
      <c r="D13" s="5" t="n">
        <v>84999.98</v>
      </c>
      <c r="E13" s="5" t="n">
        <v>4250</v>
      </c>
      <c r="F13" s="5" t="n">
        <v>89249.98</v>
      </c>
      <c r="G13" s="5" t="n">
        <v>0</v>
      </c>
      <c r="H13" s="5" t="n">
        <v>5616</v>
      </c>
      <c r="I13" s="5" t="n">
        <v>11602.5</v>
      </c>
      <c r="J13" s="5" t="n">
        <v>5533.44</v>
      </c>
      <c r="K13" s="5" t="n">
        <v>1294.03</v>
      </c>
      <c r="L13" s="5" t="n">
        <v>0</v>
      </c>
      <c r="M13" s="5" t="n">
        <v>2740.09</v>
      </c>
      <c r="N13" s="5" t="n">
        <v>3346.97</v>
      </c>
      <c r="O13" s="5" t="n">
        <v>62.51</v>
      </c>
      <c r="P13" s="5" t="n">
        <v>52</v>
      </c>
      <c r="Q13" s="5" t="n">
        <v>24631.54</v>
      </c>
      <c r="R13" s="5" t="n">
        <v>59002.44</v>
      </c>
    </row>
    <row r="14">
      <c r="A14" s="4" t="inlineStr">
        <is>
          <t>EMP-018</t>
        </is>
      </c>
      <c r="B14" s="4" t="inlineStr">
        <is>
          <t>Sofia Delgado</t>
        </is>
      </c>
      <c r="C14" s="4" t="inlineStr">
        <is>
          <t>Paralegal</t>
        </is>
      </c>
      <c r="D14" s="5" t="n">
        <v>78000</v>
      </c>
      <c r="E14" s="5" t="n">
        <v>3900</v>
      </c>
      <c r="F14" s="5" t="n">
        <v>81900</v>
      </c>
      <c r="G14" s="5" t="n">
        <v>0</v>
      </c>
      <c r="H14" s="5" t="n">
        <v>2340</v>
      </c>
      <c r="I14" s="5" t="n">
        <v>10647</v>
      </c>
      <c r="J14" s="5" t="n">
        <v>5077.8</v>
      </c>
      <c r="K14" s="5" t="n">
        <v>1187.55</v>
      </c>
      <c r="L14" s="5" t="n">
        <v>0</v>
      </c>
      <c r="M14" s="5" t="n">
        <v>2514.33</v>
      </c>
      <c r="N14" s="5" t="n">
        <v>2817.36</v>
      </c>
      <c r="O14" s="5" t="n">
        <v>57.33</v>
      </c>
      <c r="P14" s="5" t="n">
        <v>52</v>
      </c>
      <c r="Q14" s="5" t="n">
        <v>22353.37</v>
      </c>
      <c r="R14" s="5" t="n">
        <v>57206.63</v>
      </c>
    </row>
    <row r="15">
      <c r="A15" s="4" t="inlineStr">
        <is>
          <t>EMP-019</t>
        </is>
      </c>
      <c r="B15" s="4" t="inlineStr">
        <is>
          <t>Tasha Williams</t>
        </is>
      </c>
      <c r="C15" s="4" t="inlineStr">
        <is>
          <t>Legal Assistant</t>
        </is>
      </c>
      <c r="D15" s="5" t="n">
        <v>67999.88</v>
      </c>
      <c r="E15" s="5" t="n">
        <v>3400</v>
      </c>
      <c r="F15" s="5" t="n">
        <v>71399.88</v>
      </c>
      <c r="G15" s="5" t="n">
        <v>0</v>
      </c>
      <c r="H15" s="5" t="n">
        <v>4992</v>
      </c>
      <c r="I15" s="5" t="n">
        <v>7853.94</v>
      </c>
      <c r="J15" s="5" t="n">
        <v>4426.7</v>
      </c>
      <c r="K15" s="5" t="n">
        <v>1035.22</v>
      </c>
      <c r="L15" s="5" t="n">
        <v>0</v>
      </c>
      <c r="M15" s="5" t="n">
        <v>2191.92</v>
      </c>
      <c r="N15" s="5" t="n">
        <v>2677.58</v>
      </c>
      <c r="O15" s="5" t="n">
        <v>49.96</v>
      </c>
      <c r="P15" s="5" t="n">
        <v>52</v>
      </c>
      <c r="Q15" s="5" t="n">
        <v>18287.32</v>
      </c>
      <c r="R15" s="5" t="n">
        <v>48120.56</v>
      </c>
    </row>
    <row r="16">
      <c r="A16" s="4" t="inlineStr">
        <is>
          <t>EMP-020</t>
        </is>
      </c>
      <c r="B16" s="4" t="inlineStr">
        <is>
          <t>Jenna Foster</t>
        </is>
      </c>
      <c r="C16" s="4" t="inlineStr">
        <is>
          <t>Legal Assistant</t>
        </is>
      </c>
      <c r="D16" s="5" t="n">
        <v>64500.02</v>
      </c>
      <c r="E16" s="5" t="n">
        <v>3225</v>
      </c>
      <c r="F16" s="5" t="n">
        <v>67725.02</v>
      </c>
      <c r="G16" s="5" t="n">
        <v>6772.58</v>
      </c>
      <c r="H16" s="5" t="n">
        <v>2080</v>
      </c>
      <c r="I16" s="5" t="n">
        <v>6704.87</v>
      </c>
      <c r="J16" s="5" t="n">
        <v>4199.01</v>
      </c>
      <c r="K16" s="5" t="n">
        <v>981.98</v>
      </c>
      <c r="L16" s="5" t="n">
        <v>0</v>
      </c>
      <c r="M16" s="5" t="n">
        <v>2079.17</v>
      </c>
      <c r="N16" s="5" t="n">
        <v>2539.72</v>
      </c>
      <c r="O16" s="5" t="n">
        <v>47.49</v>
      </c>
      <c r="P16" s="5" t="n">
        <v>52</v>
      </c>
      <c r="Q16" s="5" t="n">
        <v>16604.24</v>
      </c>
      <c r="R16" s="5" t="n">
        <v>42268.2</v>
      </c>
    </row>
    <row r="17">
      <c r="A17" s="4" t="inlineStr">
        <is>
          <t>EMP-021</t>
        </is>
      </c>
      <c r="B17" s="4" t="inlineStr">
        <is>
          <t>Maria Iglesias</t>
        </is>
      </c>
      <c r="C17" s="4" t="inlineStr">
        <is>
          <t>Legal Assistant</t>
        </is>
      </c>
      <c r="D17" s="5" t="n">
        <v>60999.9</v>
      </c>
      <c r="E17" s="5" t="n">
        <v>3050</v>
      </c>
      <c r="F17" s="5" t="n">
        <v>64049.9</v>
      </c>
      <c r="G17" s="5" t="n">
        <v>3843.02</v>
      </c>
      <c r="H17" s="5" t="n">
        <v>2080</v>
      </c>
      <c r="I17" s="5" t="n">
        <v>6622.71</v>
      </c>
      <c r="J17" s="5" t="n">
        <v>3971.06</v>
      </c>
      <c r="K17" s="5" t="n">
        <v>928.74</v>
      </c>
      <c r="L17" s="5" t="n">
        <v>0</v>
      </c>
      <c r="M17" s="5" t="n">
        <v>1966.41</v>
      </c>
      <c r="N17" s="5" t="n">
        <v>2401.86</v>
      </c>
      <c r="O17" s="5" t="n">
        <v>44.78</v>
      </c>
      <c r="P17" s="5" t="n">
        <v>52</v>
      </c>
      <c r="Q17" s="5" t="n">
        <v>15987.56</v>
      </c>
      <c r="R17" s="5" t="n">
        <v>42139.32</v>
      </c>
    </row>
    <row r="18">
      <c r="A18" s="4" t="inlineStr">
        <is>
          <t>EMP-022</t>
        </is>
      </c>
      <c r="B18" s="4" t="inlineStr">
        <is>
          <t>Devin Russo</t>
        </is>
      </c>
      <c r="C18" s="4" t="inlineStr">
        <is>
          <t>Legal Assistant</t>
        </is>
      </c>
      <c r="D18" s="5" t="n">
        <v>58000.02</v>
      </c>
      <c r="E18" s="5" t="n">
        <v>2900</v>
      </c>
      <c r="F18" s="5" t="n">
        <v>60900.02</v>
      </c>
      <c r="G18" s="5" t="n">
        <v>4871.96</v>
      </c>
      <c r="H18" s="5" t="n">
        <v>2080</v>
      </c>
      <c r="I18" s="5" t="n">
        <v>6162.98</v>
      </c>
      <c r="J18" s="5" t="n">
        <v>3775.86</v>
      </c>
      <c r="K18" s="5" t="n">
        <v>883.15</v>
      </c>
      <c r="L18" s="5" t="n">
        <v>0</v>
      </c>
      <c r="M18" s="5" t="n">
        <v>1869.51</v>
      </c>
      <c r="N18" s="5" t="n">
        <v>2283.65</v>
      </c>
      <c r="O18" s="5" t="n">
        <v>42.59</v>
      </c>
      <c r="P18" s="5" t="n">
        <v>52</v>
      </c>
      <c r="Q18" s="5" t="n">
        <v>15069.74</v>
      </c>
      <c r="R18" s="5" t="n">
        <v>38878.32</v>
      </c>
    </row>
    <row r="19">
      <c r="A19" s="4" t="inlineStr">
        <is>
          <t>EMP-023</t>
        </is>
      </c>
      <c r="B19" s="4" t="inlineStr">
        <is>
          <t>Linda Pemberton</t>
        </is>
      </c>
      <c r="C19" s="4" t="inlineStr">
        <is>
          <t>Administrative</t>
        </is>
      </c>
      <c r="D19" s="5" t="n">
        <v>62000.12</v>
      </c>
      <c r="E19" s="5" t="n">
        <v>3100</v>
      </c>
      <c r="F19" s="5" t="n">
        <v>65100.12</v>
      </c>
      <c r="G19" s="5" t="n">
        <v>0</v>
      </c>
      <c r="H19" s="5" t="n">
        <v>2080</v>
      </c>
      <c r="I19" s="5" t="n">
        <v>7161.06</v>
      </c>
      <c r="J19" s="5" t="n">
        <v>4036.3</v>
      </c>
      <c r="K19" s="5" t="n">
        <v>944.03</v>
      </c>
      <c r="L19" s="5" t="n">
        <v>0</v>
      </c>
      <c r="M19" s="5" t="n">
        <v>1998.63</v>
      </c>
      <c r="N19" s="5" t="n">
        <v>2441.17</v>
      </c>
      <c r="O19" s="5" t="n">
        <v>45.59</v>
      </c>
      <c r="P19" s="5" t="n">
        <v>52</v>
      </c>
      <c r="Q19" s="5" t="n">
        <v>16678.78</v>
      </c>
      <c r="R19" s="5" t="n">
        <v>46341.34</v>
      </c>
    </row>
    <row r="20">
      <c r="A20" s="4" t="inlineStr">
        <is>
          <t>EMP-024</t>
        </is>
      </c>
      <c r="B20" s="4" t="inlineStr">
        <is>
          <t>Karen Yoshida</t>
        </is>
      </c>
      <c r="C20" s="4" t="inlineStr">
        <is>
          <t>Administrative</t>
        </is>
      </c>
      <c r="D20" s="5" t="n">
        <v>52000</v>
      </c>
      <c r="E20" s="5" t="n">
        <v>2600</v>
      </c>
      <c r="F20" s="5" t="n">
        <v>54600</v>
      </c>
      <c r="G20" s="5" t="n">
        <v>0</v>
      </c>
      <c r="H20" s="5" t="n">
        <v>2080</v>
      </c>
      <c r="I20" s="5" t="n">
        <v>6006</v>
      </c>
      <c r="J20" s="5" t="n">
        <v>3385.2</v>
      </c>
      <c r="K20" s="5" t="n">
        <v>791.7</v>
      </c>
      <c r="L20" s="5" t="n">
        <v>0</v>
      </c>
      <c r="M20" s="5" t="n">
        <v>1676.22</v>
      </c>
      <c r="N20" s="5" t="n">
        <v>2047.5</v>
      </c>
      <c r="O20" s="5" t="n">
        <v>38.22</v>
      </c>
      <c r="P20" s="5" t="n">
        <v>52</v>
      </c>
      <c r="Q20" s="5" t="n">
        <v>13996.84</v>
      </c>
      <c r="R20" s="5" t="n">
        <v>38523.16</v>
      </c>
    </row>
    <row r="21">
      <c r="A21" s="4" t="inlineStr">
        <is>
          <t>EMP-025</t>
        </is>
      </c>
      <c r="B21" s="4" t="inlineStr">
        <is>
          <t>Anthony Castellanos</t>
        </is>
      </c>
      <c r="C21" s="4" t="inlineStr">
        <is>
          <t>Bookkeeper</t>
        </is>
      </c>
      <c r="D21" s="5" t="n">
        <v>79999.92</v>
      </c>
      <c r="E21" s="5" t="n">
        <v>4000</v>
      </c>
      <c r="F21" s="5" t="n">
        <v>83999.92</v>
      </c>
      <c r="G21" s="5" t="n">
        <v>0</v>
      </c>
      <c r="H21" s="5" t="n">
        <v>2340</v>
      </c>
      <c r="I21" s="5" t="n">
        <v>11760.02</v>
      </c>
      <c r="J21" s="5" t="n">
        <v>5208.02</v>
      </c>
      <c r="K21" s="5" t="n">
        <v>1218.12</v>
      </c>
      <c r="L21" s="5" t="n">
        <v>0</v>
      </c>
      <c r="M21" s="5" t="n">
        <v>2578.76</v>
      </c>
      <c r="N21" s="5" t="n">
        <v>3149.88</v>
      </c>
      <c r="O21" s="5" t="n">
        <v>58.7</v>
      </c>
      <c r="P21" s="5" t="n">
        <v>52</v>
      </c>
      <c r="Q21" s="5" t="n">
        <v>24025.5</v>
      </c>
      <c r="R21" s="5" t="n">
        <v>57634.42</v>
      </c>
    </row>
    <row r="22">
      <c r="A22" s="7" t="inlineStr">
        <is>
          <t>TOTAL</t>
        </is>
      </c>
      <c r="B22" s="7" t="n"/>
      <c r="C22" s="7" t="n"/>
      <c r="D22" s="8">
        <f>SUM(D5:D21)</f>
        <v/>
      </c>
      <c r="E22" s="8">
        <f>SUM(E5:E21)</f>
        <v/>
      </c>
      <c r="F22" s="8">
        <f>SUM(F5:F21)</f>
        <v/>
      </c>
      <c r="G22" s="8">
        <f>SUM(G5:G21)</f>
        <v/>
      </c>
      <c r="H22" s="8">
        <f>SUM(H5:H21)</f>
        <v/>
      </c>
      <c r="I22" s="8">
        <f>SUM(I5:I21)</f>
        <v/>
      </c>
      <c r="J22" s="8">
        <f>SUM(J5:J21)</f>
        <v/>
      </c>
      <c r="K22" s="8">
        <f>SUM(K5:K21)</f>
        <v/>
      </c>
      <c r="L22" s="8">
        <f>SUM(L5:L21)</f>
        <v/>
      </c>
      <c r="M22" s="8">
        <f>SUM(M5:M21)</f>
        <v/>
      </c>
      <c r="N22" s="8">
        <f>SUM(N5:N21)</f>
        <v/>
      </c>
      <c r="O22" s="8">
        <f>SUM(O5:O21)</f>
        <v/>
      </c>
      <c r="P22" s="8">
        <f>SUM(P5:P21)</f>
        <v/>
      </c>
      <c r="Q22" s="8">
        <f>SUM(Q5:Q21)</f>
        <v/>
      </c>
      <c r="R22" s="8">
        <f>SUM(R5:R21)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5" customWidth="1" min="3" max="3"/>
  </cols>
  <sheetData>
    <row r="1">
      <c r="A1" s="1" t="inlineStr">
        <is>
          <t>Firm-level 2024 Payroll Posting Summary</t>
        </is>
      </c>
    </row>
    <row r="2">
      <c r="A2" s="2" t="inlineStr">
        <is>
          <t>Aggregated across all 17 W-2 employees and 26 pay periods.</t>
        </is>
      </c>
    </row>
    <row r="4">
      <c r="A4" s="9" t="inlineStr">
        <is>
          <t>Line Item</t>
        </is>
      </c>
      <c r="B4" s="9" t="inlineStr">
        <is>
          <t>Amount</t>
        </is>
      </c>
      <c r="C4" s="9" t="inlineStr">
        <is>
          <t>GL Account Reference</t>
        </is>
      </c>
    </row>
    <row r="5">
      <c r="A5" s="10" t="inlineStr">
        <is>
          <t>EMPLOYEE EARNINGS by GL salary account</t>
        </is>
      </c>
      <c r="B5" s="11" t="n"/>
      <c r="C5" s="12" t="inlineStr"/>
    </row>
    <row r="6">
      <c r="A6" s="13" t="inlineStr">
        <is>
          <t xml:space="preserve">  Associate gross wages (incl. bonus)</t>
        </is>
      </c>
      <c r="B6" s="14" t="n">
        <v>896000.24</v>
      </c>
      <c r="C6" s="13" t="inlineStr">
        <is>
          <t>acc_000035 / 6000 Salaries - Associates</t>
        </is>
      </c>
    </row>
    <row r="7">
      <c r="A7" s="13" t="inlineStr">
        <is>
          <t xml:space="preserve">  Of-Counsel gross wages (incl. bonus)</t>
        </is>
      </c>
      <c r="B7" s="14" t="n">
        <v>506000.06</v>
      </c>
      <c r="C7" s="13" t="inlineStr">
        <is>
          <t>acc_000036 / 6010 Salaries - Of-Counsel</t>
        </is>
      </c>
    </row>
    <row r="8">
      <c r="A8" s="13" t="inlineStr">
        <is>
          <t xml:space="preserve">  Paralegal gross wages (incl. bonus)</t>
        </is>
      </c>
      <c r="B8" s="14" t="n">
        <v>267749.94</v>
      </c>
      <c r="C8" s="13" t="inlineStr">
        <is>
          <t>acc_000037 / 6020 Salaries - Paralegals</t>
        </is>
      </c>
    </row>
    <row r="9">
      <c r="A9" s="13" t="inlineStr">
        <is>
          <t xml:space="preserve">  Legal Assistant gross wages (incl. bonus)</t>
        </is>
      </c>
      <c r="B9" s="14" t="n">
        <v>264074.82</v>
      </c>
      <c r="C9" s="13" t="inlineStr">
        <is>
          <t>acc_000038 / 6030 Salaries - Legal Assistants</t>
        </is>
      </c>
    </row>
    <row r="10">
      <c r="A10" s="13" t="inlineStr">
        <is>
          <t xml:space="preserve">  Administrative gross wages (incl. bonus)</t>
        </is>
      </c>
      <c r="B10" s="14" t="n">
        <v>119700.12</v>
      </c>
      <c r="C10" s="13" t="inlineStr">
        <is>
          <t>acc_000039 / 6040 Salaries - Administrative</t>
        </is>
      </c>
    </row>
    <row r="11">
      <c r="A11" s="13" t="inlineStr">
        <is>
          <t xml:space="preserve">  Bookkeeper gross wages (incl. bonus)</t>
        </is>
      </c>
      <c r="B11" s="14" t="n">
        <v>83999.92</v>
      </c>
      <c r="C11" s="13" t="inlineStr">
        <is>
          <t>acc_000040 / 6050 Salaries - Bookkeeper</t>
        </is>
      </c>
    </row>
    <row r="12">
      <c r="A12" s="10" t="inlineStr">
        <is>
          <t xml:space="preserve">  Total gross wages</t>
        </is>
      </c>
      <c r="B12" s="15" t="n">
        <v>2137525.1</v>
      </c>
      <c r="C12" s="12" t="inlineStr"/>
    </row>
    <row r="13">
      <c r="A13" s="13" t="inlineStr"/>
      <c r="C13" s="13" t="inlineStr"/>
    </row>
    <row r="14">
      <c r="A14" s="10" t="inlineStr">
        <is>
          <t>EMPLOYEE WITHHOLDINGS (liabilities)</t>
        </is>
      </c>
      <c r="B14" s="11" t="n"/>
      <c r="C14" s="12" t="inlineStr"/>
    </row>
    <row r="15">
      <c r="A15" s="13" t="inlineStr">
        <is>
          <t xml:space="preserve">  Federal income tax withheld</t>
        </is>
      </c>
      <c r="B15" s="14" t="n">
        <v>376845.76</v>
      </c>
      <c r="C15" s="13" t="inlineStr">
        <is>
          <t>acc_000018 / 2200 Payroll Taxes Payable</t>
        </is>
      </c>
    </row>
    <row r="16">
      <c r="A16" s="13" t="inlineStr">
        <is>
          <t xml:space="preserve">  Social Security (EE, 6.2%)</t>
        </is>
      </c>
      <c r="B16" s="14" t="n">
        <v>117485.02</v>
      </c>
      <c r="C16" s="13" t="inlineStr">
        <is>
          <t>acc_000018 / 2200 Payroll Taxes Payable</t>
        </is>
      </c>
    </row>
    <row r="17">
      <c r="A17" s="13" t="inlineStr">
        <is>
          <t xml:space="preserve">  Medicare (EE, 1.45%)</t>
        </is>
      </c>
      <c r="B17" s="14" t="n">
        <v>30993.96</v>
      </c>
      <c r="C17" s="13" t="inlineStr">
        <is>
          <t>acc_000018 / 2200 Payroll Taxes Payable</t>
        </is>
      </c>
    </row>
    <row r="18">
      <c r="A18" s="13" t="inlineStr">
        <is>
          <t xml:space="preserve">  Additional Medicare (0.9% over $200K)</t>
        </is>
      </c>
      <c r="B18" s="14" t="n">
        <v>1018.81</v>
      </c>
      <c r="C18" s="13" t="inlineStr">
        <is>
          <t>acc_000018 / 2200 Payroll Taxes Payable</t>
        </is>
      </c>
    </row>
    <row r="19">
      <c r="A19" s="13" t="inlineStr">
        <is>
          <t xml:space="preserve">  PA state income tax (3.07%)</t>
        </is>
      </c>
      <c r="B19" s="14" t="n">
        <v>65621.8</v>
      </c>
      <c r="C19" s="13" t="inlineStr">
        <is>
          <t>acc_000018 / 2200 Payroll Taxes Payable</t>
        </is>
      </c>
    </row>
    <row r="20">
      <c r="A20" s="13" t="inlineStr">
        <is>
          <t xml:space="preserve">  Philadelphia wage tax (3.75%/3.44%)</t>
        </is>
      </c>
      <c r="B20" s="14" t="n">
        <v>79067.78</v>
      </c>
      <c r="C20" s="13" t="inlineStr">
        <is>
          <t>acc_000018 / 2200 Payroll Taxes Payable</t>
        </is>
      </c>
    </row>
    <row r="21">
      <c r="A21" s="13" t="inlineStr">
        <is>
          <t xml:space="preserve">  PA SUI EE (0.07%)</t>
        </is>
      </c>
      <c r="B21" s="14" t="n">
        <v>1496.19</v>
      </c>
      <c r="C21" s="13" t="inlineStr">
        <is>
          <t>acc_000018 / 2200 Payroll Taxes Payable</t>
        </is>
      </c>
    </row>
    <row r="22">
      <c r="A22" s="13" t="inlineStr">
        <is>
          <t xml:space="preserve">  PA LST ($52/yr)</t>
        </is>
      </c>
      <c r="B22" s="14" t="n">
        <v>884</v>
      </c>
      <c r="C22" s="13" t="inlineStr">
        <is>
          <t>acc_000018 / 2200 Payroll Taxes Payable</t>
        </is>
      </c>
    </row>
    <row r="23">
      <c r="A23" s="13" t="inlineStr">
        <is>
          <t xml:space="preserve">  401(k) employee deferrals</t>
        </is>
      </c>
      <c r="B23" s="14" t="n">
        <v>21283.62</v>
      </c>
      <c r="C23" s="13" t="inlineStr">
        <is>
          <t>acc_000019 / 2210 401(k) Withholding Payable</t>
        </is>
      </c>
    </row>
    <row r="24">
      <c r="A24" s="13" t="inlineStr">
        <is>
          <t xml:space="preserve">  Health insurance EE share</t>
        </is>
      </c>
      <c r="B24" s="14" t="n">
        <v>55692</v>
      </c>
      <c r="C24" s="13" t="inlineStr">
        <is>
          <t>acc_000020 / 2220 Health Insurance Withholding Payable</t>
        </is>
      </c>
    </row>
    <row r="25">
      <c r="A25" s="10" t="inlineStr">
        <is>
          <t xml:space="preserve">  Total employee withholdings</t>
        </is>
      </c>
      <c r="B25" s="15" t="n">
        <v>750388.9399999999</v>
      </c>
      <c r="C25" s="12" t="inlineStr"/>
    </row>
    <row r="26">
      <c r="A26" s="13" t="inlineStr"/>
      <c r="C26" s="13" t="inlineStr"/>
    </row>
    <row r="27">
      <c r="A27" s="10" t="inlineStr">
        <is>
          <t>NET PAY</t>
        </is>
      </c>
      <c r="B27" s="15" t="n">
        <v>1387136.16</v>
      </c>
      <c r="C27" s="12" t="inlineStr">
        <is>
          <t>acc_000001 / 1000 Operating Checking - First Keystone Bank</t>
        </is>
      </c>
    </row>
    <row r="28">
      <c r="A28" s="13" t="inlineStr"/>
      <c r="C28" s="13" t="inlineStr"/>
    </row>
    <row r="29">
      <c r="A29" s="10" t="inlineStr">
        <is>
          <t>EMPLOYER PAYROLL TAXES (expense)</t>
        </is>
      </c>
      <c r="B29" s="11" t="n"/>
      <c r="C29" s="12" t="inlineStr"/>
    </row>
    <row r="30">
      <c r="A30" s="13" t="inlineStr">
        <is>
          <t xml:space="preserve">  Employer Social Security (6.2%)</t>
        </is>
      </c>
      <c r="B30" s="14" t="n">
        <v>117485.14</v>
      </c>
      <c r="C30" s="13" t="inlineStr">
        <is>
          <t>acc_000041 / 6100 Employer Payroll Taxes</t>
        </is>
      </c>
    </row>
    <row r="31">
      <c r="A31" s="13" t="inlineStr">
        <is>
          <t xml:space="preserve">  Employer Medicare (1.45%)</t>
        </is>
      </c>
      <c r="B31" s="14" t="n">
        <v>30993.96</v>
      </c>
      <c r="C31" s="13" t="inlineStr">
        <is>
          <t>acc_000041 / 6100 Employer Payroll Taxes</t>
        </is>
      </c>
    </row>
    <row r="32">
      <c r="A32" s="13" t="inlineStr">
        <is>
          <t xml:space="preserve">  Employer FUTA (0.6%)</t>
        </is>
      </c>
      <c r="B32" s="14" t="n">
        <v>714</v>
      </c>
      <c r="C32" s="13" t="inlineStr">
        <is>
          <t>acc_000041 / 6100 Employer Payroll Taxes</t>
        </is>
      </c>
    </row>
    <row r="33">
      <c r="A33" s="13" t="inlineStr">
        <is>
          <t xml:space="preserve">  Employer PA SUTA (2.7%)</t>
        </is>
      </c>
      <c r="B33" s="14" t="n">
        <v>4590.02</v>
      </c>
      <c r="C33" s="13" t="inlineStr">
        <is>
          <t>acc_000041 / 6100 Employer Payroll Taxes</t>
        </is>
      </c>
    </row>
    <row r="34">
      <c r="A34" s="13" t="inlineStr">
        <is>
          <t xml:space="preserve">  Workers compensation (0.6%)</t>
        </is>
      </c>
      <c r="B34" s="14" t="n">
        <v>12825.07</v>
      </c>
      <c r="C34" s="13" t="inlineStr">
        <is>
          <t>acc_000041 / 6100 Employer Payroll Taxes</t>
        </is>
      </c>
    </row>
    <row r="35">
      <c r="A35" s="10" t="inlineStr">
        <is>
          <t xml:space="preserve">  Total employer payroll taxes</t>
        </is>
      </c>
      <c r="B35" s="15" t="n">
        <v>166608.19</v>
      </c>
      <c r="C35" s="12" t="inlineStr"/>
    </row>
    <row r="36">
      <c r="A36" s="13" t="inlineStr"/>
      <c r="C36" s="13" t="inlineStr"/>
    </row>
    <row r="37">
      <c r="A37" s="10" t="inlineStr">
        <is>
          <t>EMPLOYER BENEFITS (expense)</t>
        </is>
      </c>
      <c r="B37" s="11" t="n"/>
      <c r="C37" s="12" t="inlineStr"/>
    </row>
    <row r="38">
      <c r="A38" s="13" t="inlineStr">
        <is>
          <t xml:space="preserve">  Health insurance employer share (75%)</t>
        </is>
      </c>
      <c r="B38" s="14" t="n">
        <v>167076</v>
      </c>
      <c r="C38" s="13" t="inlineStr">
        <is>
          <t>acc_000042 / 6110 Employee Health Insurance</t>
        </is>
      </c>
    </row>
    <row r="39">
      <c r="A39" s="13" t="inlineStr">
        <is>
          <t xml:space="preserve">  401(k) Safe Harbor non-elective (3%)</t>
        </is>
      </c>
      <c r="B39" s="14" t="n">
        <v>64125.61</v>
      </c>
      <c r="C39" s="13" t="inlineStr">
        <is>
          <t>acc_000043 / 6120 401(k) Employer Match</t>
        </is>
      </c>
    </row>
    <row r="40">
      <c r="A40" s="10" t="inlineStr">
        <is>
          <t xml:space="preserve">  Total employer benefits</t>
        </is>
      </c>
      <c r="B40" s="15" t="n">
        <v>231201.61</v>
      </c>
      <c r="C40" s="12" t="inlineStr"/>
    </row>
    <row r="41">
      <c r="A41" s="13" t="inlineStr"/>
      <c r="C41" s="13" t="inlineStr"/>
    </row>
    <row r="42">
      <c r="A42" s="10" t="inlineStr">
        <is>
          <t>TOTAL EMPLOYER COMPENSATION COST</t>
        </is>
      </c>
      <c r="B42" s="15" t="n">
        <v>2535334.9</v>
      </c>
      <c r="C42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2026-05-21T14:07:31Z</dcterms:created>
  <dcterms:modified xmlns:dcterms="http://purl.org/dc/terms/" xmlns:xsi="http://www.w3.org/2001/XMLSchema-instance" xsi:type="dcterms:W3CDTF">2026-05-21T14:07:31Z</dcterms:modified>
</cp:coreProperties>
</file>